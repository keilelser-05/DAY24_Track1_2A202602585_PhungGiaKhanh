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86c87b1a2c4e5e" /></Relationships>
</file>

<file path=xl/workbook.xml><?xml version="1.0" encoding="utf-8"?>
<x:workbook xmlns:x="http://schemas.openxmlformats.org/spreadsheetml/2006/main">
  <x:sheets>
    <x:sheet xmlns:r="http://schemas.openxmlformats.org/officeDocument/2006/relationships" name="0_Hướng dẫn" sheetId="1" r:id="Rfd08f4b560b846b0"/>
    <x:sheet xmlns:r="http://schemas.openxmlformats.org/officeDocument/2006/relationships" name="0_Đầu vào" sheetId="2" r:id="Rc88a9a472c2645e8"/>
    <x:sheet xmlns:r="http://schemas.openxmlformats.org/officeDocument/2006/relationships" name="A_Tài chính căn bản" sheetId="3" r:id="Re93f1de408b240e1"/>
    <x:sheet xmlns:r="http://schemas.openxmlformats.org/officeDocument/2006/relationships" name="1_Chi phí mỗi việc" sheetId="4" r:id="Rffbe44ff67d64009"/>
    <x:sheet xmlns:r="http://schemas.openxmlformats.org/officeDocument/2006/relationships" name="2_Định giá" sheetId="5" r:id="R5231ab8a579c4326"/>
    <x:sheet xmlns:r="http://schemas.openxmlformats.org/officeDocument/2006/relationships" name="3_Giả định" sheetId="6" r:id="R16f253492451495f"/>
    <x:sheet xmlns:r="http://schemas.openxmlformats.org/officeDocument/2006/relationships" name="4_Chỉ số mỗi khách" sheetId="7" r:id="Rd9c0681611d94d38"/>
    <x:sheet xmlns:r="http://schemas.openxmlformats.org/officeDocument/2006/relationships" name="5_Dòng tiền &amp; hiệu quả" sheetId="8" r:id="Rb7d678b0cea14a16"/>
    <x:sheet xmlns:r="http://schemas.openxmlformats.org/officeDocument/2006/relationships" name="6_Hiệu quả nội bộ" sheetId="9" r:id="R145b5bad930846ab"/>
    <x:sheet xmlns:r="http://schemas.openxmlformats.org/officeDocument/2006/relationships" name="7_Quyết định" sheetId="10" r:id="R31ce2d60649e431a"/>
    <x:sheet xmlns:r="http://schemas.openxmlformats.org/officeDocument/2006/relationships" name="8_Thang điểm" sheetId="11" r:id="Rafeb4c1579d74c9d"/>
    <x:sheet xmlns:r="http://schemas.openxmlformats.org/officeDocument/2006/relationships" name="9_Số tham khảo" sheetId="12" r:id="R8bd9a487baa74e06"/>
  </x:sheets>
</x:workbook>
</file>

<file path=xl/sharedStrings.xml><?xml version="1.0" encoding="utf-8"?>
<x:sst xmlns:x="http://schemas.openxmlformats.org/spreadsheetml/2006/main">
  <x:si>
    <x:t xml:space="preserve">CS9 · Kinh tế sản phẩm AI: chi phí, định giá, hiệu quả đầu tư — File thực hành</x:t>
  </x:si>
  <x:si>
    <x:t xml:space="preserve">AI in Action · Track 1 · Khóa 4. BẢN MẪU ĐÃ ĐIỀN (ví dụ minh hoạ, số liệu giả định — không phải số thật của doanh nghiệp nào).</x:t>
  </x:si>
  <x:si>
    <x:t xml:space="preserve">Ô tự kiểm tra: "Đạt" là ổn. "Xem lại", "Chưa đủ sốc" là câu hỏi để nhóm soát: sửa nếu nhập sai; nếu số đúng thì giữ nguyên và giải thích ở trang 7. Không chỉnh giả định chỉ để được "Đạt".</x:t>
  </x:si>
  <x:si>
    <x:t xml:space="preserve">Luật chơi: CHỈ điền vào ô màu VÀNG (một số ô vàng có sẵn số mặc định, sửa được). Ô màu XANH LÁ NHẠT là công thức, đã khóa. Cột "Gợi ý" chữ xám (trang 1, 3, 6) chỉ cách lấy số và giá trị của bản mẫu, không cần điền.</x:t>
  </x:si>
  <x:si>
    <x:t xml:space="preserve">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x:t>
  </x:si>
  <x:si>
    <x:t xml:space="preserve">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x:t>
  </x:si>
  <x:si>
    <x:t xml:space="preserve">Giá token: tra bảng giá chính thức của nhà cung cấp vào ngày làm bài, ghi tên mô hình và ngày tra. Tỷ giá: ghi nguồn và ngày. Trang 9 có sẵn một số số liệu đã kiểm chứng.</x:t>
  </x:si>
  <x:si>
    <x:t xml:space="preserve">Kịch bản xấu phải là cú sốc thật: tỷ lệ rời bỏ và chi phí có một khách tối thiểu gấp 1,5 lần kịch bản cơ sở (trang 3 tự kiểm tra).</x:t>
  </x:si>
  <x:si>
    <x:t xml:space="preserve">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x:t>
  </x:si>
  <x:si>
    <x:t xml:space="preserve">Tên file nộp: [Nhom]_CS9.xlsx · Nộp lên VLearn khi hết Nhiệm vụ 4.</x:t>
  </x:si>
  <x:si>
    <x:t xml:space="preserve">Nối hai buổi trước: mang phiếu bài tập 1 và bài về nhà một trang của Ngày 22 (định giá, kênh bán), và bảng theo dõi chỉ số của Ngày 23. Trang 0 chỉ chỗ dùng từng thứ.</x:t>
  </x:si>
  <x:si>
    <x:t xml:space="preserve">Nguồn tham khảo khung bài: AI in Action khóa 3 — Ngày 24 Mô hình tài chính (slide và sổ tay), Ngày 25 Định giá và đưa sản phẩm ra thị trường (Đàm Bá Quyền). File này được dựng lại cho khóa 4.</x:t>
  </x:si>
  <x:si>
    <x:t xml:space="preserve">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x:t>
  </x:si>
  <x:si>
    <x:t xml:space="preserve">Đơn vị tiền: trang A tính bằng TRIỆU đồng; từ trang 1 trở đi tính bằng ĐỒNG, riêng bảng độ nhạy ở trang 5 (dòng 56–68) ghi bằng triệu đồng.</x:t>
  </x:si>
  <x:si>
    <x:t xml:space="preserve">Chú thích màu:</x:t>
  </x:si>
  <x:si>
    <x:t xml:space="preserve">Ô điền giả định (không khóa)</x:t>
  </x:si>
  <x:si>
    <x:t xml:space="preserve">Ô công thức (tự tính, đã khóa)</x:t>
  </x:si>
  <x:si>
    <x:t xml:space="preserve">Chữ xám nghiêng ở cột Gợi ý: cách lấy số và giá trị bản mẫu (không cần điền)</x:t>
  </x:si>
  <x:si>
    <x:t xml:space="preserve">0 · Nhiệm vụ 0: gom đầu vào — có thì tận dụng, chưa có thì làm mới (5 phút)</x:t>
  </x:si>
  <x:si>
    <x:t xml:space="preserve">Đánh dấu nhóm đã có hay chưa. Cả hai lối đi đều đủ điểm. Dùng số thật từ buổi trước được cộng tối đa 10 điểm.</x:t>
  </x:si>
  <x:si>
    <x:t xml:space="preserve">Có thể đã có từ buổi trước</x:t>
  </x:si>
  <x:si>
    <x:t xml:space="preserve">Nhóm đã có chưa?</x:t>
  </x:si>
  <x:si>
    <x:t xml:space="preserve">Nếu ĐÃ CÓ: dùng ở đâu</x:t>
  </x:si>
  <x:si>
    <x:t xml:space="preserve">Nếu CHƯA CÓ: làm gì</x:t>
  </x:si>
  <x:si>
    <x:t xml:space="preserve">Ghi chú (tên file, đường dẫn)</x:t>
  </x:si>
  <x:si>
    <x:t xml:space="preserve">Mô hình hiệu quả đầu tư 3–6–12 tháng và tài liệu yêu cầu sản phẩm (Phase 1, Ngày 6)</x:t>
  </x:si>
  <x:si>
    <x:t xml:space="preserve">Có</x:t>
  </x:si>
  <x:si>
    <x:t xml:space="preserve">Làm phiên bản 2; so sánh con số cũ và mới ở trang 3–5</x:t>
  </x:si>
  <x:si>
    <x:t xml:space="preserve">Dựng mới trên file này</x:t>
  </x:si>
  <x:si>
    <x:t xml:space="preserve">Bảng giám sát agent: token, chi phí theo ngày (Ngày 13)</x:t>
  </x:si>
  <x:si>
    <x:t xml:space="preserve">Chưa</x:t>
  </x:si>
  <x:si>
    <x:t xml:space="preserve">Lấy số lần gọi AI và token thật ở trang 1</x:t>
  </x:si>
  <x:si>
    <x:t xml:space="preserve">Chạy thử 5 câu hỏi, xem số token ở trang quản lý API (cách làm: trang 1, cột Gợi ý)</x:t>
  </x:si>
  <x:si>
    <x:t xml:space="preserve">Báo cáo đánh giá chất lượng (Ngày 14 hoặc buổi đánh giá Track 1)</x:t>
  </x:si>
  <x:si>
    <x:t xml:space="preserve">Tỷ lệ chưa đạt → tỷ lệ cần người kiểm tra ở trang 1</x:t>
  </x:si>
  <x:si>
    <x:t xml:space="preserve">Giả định 10–20%, ghi lý do</x:t>
  </x:si>
  <x:si>
    <x:t xml:space="preserve">Phiếu bài tập 1 và bài về nhà một trang (Ngày 22)</x:t>
  </x:si>
  <x:si>
    <x:t xml:space="preserve">Cách tính tiền, chi phí mỗi việc, giá đề xuất: chép vào trang 1–2 rồi soát lại</x:t>
  </x:si>
  <x:si>
    <x:t xml:space="preserve">Làm nhanh ở Nhiệm vụ 1–2 theo bản mẫu (cột Gợi ý ở trang 1–2)</x:t>
  </x:si>
  <x:si>
    <x:t xml:space="preserve">Bảng theo dõi chỉ số và luật xử lý (Ngày 23)</x:t>
  </x:si>
  <x:si>
    <x:t xml:space="preserve">Điền mức cảnh báo tự tính (trang 5, dòng 72–77) vào cột [TỰ TÍNH]</x:t>
  </x:si>
  <x:si>
    <x:t xml:space="preserve">Dùng bảng mức cảnh báo ở trang 5 làm khung</x:t>
  </x:si>
  <x:si>
    <x:t xml:space="preserve">Sản phẩm của nhóm từ các buổi trước</x:t>
  </x:si>
  <x:si>
    <x:t xml:space="preserve">Dùng xuyên suốt</x:t>
  </x:si>
  <x:si>
    <x:t xml:space="preserve">Nhóm ngồi chung bàn nhưng khác dự án: chọn 1 trong 3 đề bài giả định trong file CS9_DeBai_GiaDinh.pdf (đề cho sẵn số liệu trang 1–3; ghi tên đề ở cột Ghi chú)</x:t>
  </x:si>
  <x:si>
    <x:t xml:space="preserve">Số đầu vào nhóm đã có</x:t>
  </x:si>
  <x:si>
    <x:t xml:space="preserve">Điểm thưởng gợi ý (tối đa 10): 2 điểm cho mỗi đầu vào đã có và thật sự được dùng trong bài</x:t>
  </x:si>
  <x:si>
    <x:t xml:space="preserve">A · Bài tập tài chính doanh nghiệp căn bản: lập ba báo cáo tài chính</x:t>
  </x:si>
  <x:si>
    <x:t xml:space="preserve">Công ty Trợ Lý Xanh bán trợ lý AI trả lời tin nhắn. Dưới đây là mọi giao dịch của 3 tháng đầu. Lập báo cáo kết quả kinh doanh, bảng cân đối kế toán và báo cáo lưu chuyển tiền tệ.</x:t>
  </x:si>
  <x:si>
    <x:t xml:space="preserve">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x:t>
  </x:si>
  <x:si>
    <x:t xml:space="preserve">ĐỀ BÀI · Giao dịch 3 tháng đầu</x:t>
  </x:si>
  <x:si>
    <x:t xml:space="preserve">STT</x:t>
  </x:si>
  <x:si>
    <x:t xml:space="preserve">Giao dịch</x:t>
  </x:si>
  <x:si>
    <x:t xml:space="preserve">Tháng 1</x:t>
  </x:si>
  <x:si>
    <x:t xml:space="preserve">Tháng 2</x:t>
  </x:si>
  <x:si>
    <x:t xml:space="preserve">Tháng 3</x:t>
  </x:si>
  <x:si>
    <x:t xml:space="preserve">Ghi chú</x:t>
  </x:si>
  <x:si>
    <x:t xml:space="preserve">Bài 1 · Vào báo cáo kết quả? (Có / Không · vì sao)</x:t>
  </x:si>
  <x:si>
    <x:t xml:space="preserve">Chủ sở hữu góp vốn bằng tiền</x:t>
  </x:si>
  <x:si>
    <x:t xml:space="preserve">Không: vốn góp là vốn chủ sở hữu, không phải doanh thu</x:t>
  </x:si>
  <x:si>
    <x:t xml:space="preserve">Vay ngân hàng, gốc trả sau 3 năm</x:t>
  </x:si>
  <x:si>
    <x:t xml:space="preserve">Lãi 12%/năm, trả cuối mỗi tháng</x:t>
  </x:si>
  <x:si>
    <x:t xml:space="preserve">Không: tiền vay là nợ; chỉ lãi vay 3 triệu/tháng vào báo cáo</x:t>
  </x:si>
  <x:si>
    <x:t xml:space="preserve">Mua máy chủ, trả tiền ngay</x:t>
  </x:si>
  <x:si>
    <x:t xml:space="preserve">Dùng 36 tháng, khấu hao đều</x:t>
  </x:si>
  <x:si>
    <x:t xml:space="preserve">Không: mua tài sản dùng lâu; chỉ khấu hao 10 triệu/tháng vào báo cáo</x:t>
  </x:si>
  <x:si>
    <x:t xml:space="preserve">Bán gói tháng cho cửa hàng nhỏ, thu tiền ngay</x:t>
  </x:si>
  <x:si>
    <x:t xml:space="preserve">Có: doanh thu tháng nào ghi tháng đó</x:t>
  </x:si>
  <x:si>
    <x:t xml:space="preserve">Ngân hàng X trả trước gói 12 tháng</x:t>
  </x:si>
  <x:si>
    <x:t xml:space="preserve">Dịch vụ chạy đều từ tháng 1</x:t>
  </x:si>
  <x:si>
    <x:t xml:space="preserve">Một phần: mỗi tháng 20 triệu; phần còn lại là doanh thu chưa thực hiện</x:t>
  </x:si>
  <x:si>
    <x:t xml:space="preserve">Dự án triển khai cho công ty Y được nghiệm thu</x:t>
  </x:si>
  <x:si>
    <x:t xml:space="preserve">Y trả tiền sau 60 ngày (tháng 4)</x:t>
  </x:si>
  <x:si>
    <x:t xml:space="preserve">Có: 90 triệu doanh thu tháng 2, khi nghiệm thu</x:t>
  </x:si>
  <x:si>
    <x:t xml:space="preserve">Chi phí gọi AI phát sinh trong tháng</x:t>
  </x:si>
  <x:si>
    <x:t xml:space="preserve">Nhà cung cấp cho trả vào tháng sau</x:t>
  </x:si>
  <x:si>
    <x:t xml:space="preserve">Có: ghi vào tháng dùng, dù trả tiền tháng sau</x:t>
  </x:si>
  <x:si>
    <x:t xml:space="preserve">Người kiểm tra câu trả lời, trả trong tháng</x:t>
  </x:si>
  <x:si>
    <x:t xml:space="preserve">Có: giá vốn</x:t>
  </x:si>
  <x:si>
    <x:t xml:space="preserve">Lương đội phát triển và bán hàng, trả trong tháng</x:t>
  </x:si>
  <x:si>
    <x:t xml:space="preserve">Có: chi phí hoạt động</x:t>
  </x:si>
  <x:si>
    <x:t xml:space="preserve">Thuê văn phòng, trả trong tháng</x:t>
  </x:si>
  <x:si>
    <x:t xml:space="preserve">Thuế thu nhập doanh nghiệp</x:t>
  </x:si>
  <x:si>
    <x:t xml:space="preserve">Lỗ lũy kế nên chưa phát sinh thuế</x:t>
  </x:si>
  <x:si>
    <x:t xml:space="preserve">Có: bằng 0 vì đang lỗ</x:t>
  </x:si>
  <x:si>
    <x:t xml:space="preserve">BÀI 1 · BÁO CÁO KẾT QUẢ KINH DOANH (10 phút). Ghi theo tháng phát sinh, không theo ngày tiền vào ra. Chi phí ghi số dương; dòng lợi nhuận = kết quả cộng trừ.</x:t>
  </x:si>
  <x:si>
    <x:t xml:space="preserve">Khoản mục</x:t>
  </x:si>
  <x:si>
    <x:t xml:space="preserve">Cộng 3 tháng</x:t>
  </x:si>
  <x:si>
    <x:t xml:space="preserve">Tự kiểm tra</x:t>
  </x:si>
  <x:si>
    <x:t xml:space="preserve">Doanh thu</x:t>
  </x:si>
  <x:si>
    <x:t xml:space="preserve">Giá vốn (gọi AI + người kiểm tra)</x:t>
  </x:si>
  <x:si>
    <x:t xml:space="preserve">Lợi nhuận gộp</x:t>
  </x:si>
  <x:si>
    <x:t xml:space="preserve">Chi phí hoạt động (lương + văn phòng)</x:t>
  </x:si>
  <x:si>
    <x:t xml:space="preserve">Lợi nhuận trước lãi vay, thuế và khấu hao (EBITDA)</x:t>
  </x:si>
  <x:si>
    <x:t xml:space="preserve">Khấu hao</x:t>
  </x:si>
  <x:si>
    <x:t xml:space="preserve">Lợi nhuận hoạt động</x:t>
  </x:si>
  <x:si>
    <x:t xml:space="preserve">Lãi vay</x:t>
  </x:si>
  <x:si>
    <x:t xml:space="preserve">Lợi nhuận trước thuế</x:t>
  </x:si>
  <x:si>
    <x:t xml:space="preserve">Lợi nhuận sau thuế</x:t>
  </x:si>
  <x:si>
    <x:t xml:space="preserve">Biên lợi nhuận gộp</x:t>
  </x:si>
  <x:si>
    <x:t xml:space="preserve">KIỂM TRA ghi theo kỳ: tổng lợi nhuận sau thuế 3 tháng (ô F31) có bằng −174 (số ở câu 3) không?</x:t>
  </x:si>
  <x:si>
    <x:t xml:space="preserve">BÀI 2 · BẢNG CÂN ĐỐI KẾ TOÁN cuối tháng 3 (Bài 2 và 3: 14 phút). Hao mòn lũy kế ghi số âm; lợi nhuận giữ lại đang lỗ thì ghi số âm.</x:t>
  </x:si>
  <x:si>
    <x:t xml:space="preserve">Số tiền</x:t>
  </x:si>
  <x:si>
    <x:t xml:space="preserve">TÀI SẢN</x:t>
  </x:si>
  <x:si>
    <x:t xml:space="preserve">Tiền</x:t>
  </x:si>
  <x:si>
    <x:t xml:space="preserve">Phải thu khách hàng</x:t>
  </x:si>
  <x:si>
    <x:t xml:space="preserve">Máy chủ — nguyên giá</x:t>
  </x:si>
  <x:si>
    <x:t xml:space="preserve">Hao mòn lũy kế</x:t>
  </x:si>
  <x:si>
    <x:t xml:space="preserve">Tổng tài sản</x:t>
  </x:si>
  <x:si>
    <x:t xml:space="preserve">NỢ PHẢI TRẢ</x:t>
  </x:si>
  <x:si>
    <x:t xml:space="preserve">Phải trả nhà cung cấp</x:t>
  </x:si>
  <x:si>
    <x:t xml:space="preserve">Doanh thu chưa thực hiện</x:t>
  </x:si>
  <x:si>
    <x:t xml:space="preserve">Vay ngân hàng</x:t>
  </x:si>
  <x:si>
    <x:t xml:space="preserve">Tổng nợ phải trả</x:t>
  </x:si>
  <x:si>
    <x:t xml:space="preserve">VỐN CHỦ SỞ HỮU</x:t>
  </x:si>
  <x:si>
    <x:t xml:space="preserve">Vốn góp</x:t>
  </x:si>
  <x:si>
    <x:t xml:space="preserve">Lợi nhuận giữ lại</x:t>
  </x:si>
  <x:si>
    <x:t xml:space="preserve">Tổng vốn chủ sở hữu</x:t>
  </x:si>
  <x:si>
    <x:t xml:space="preserve">Tổng nợ phải trả + vốn chủ sở hữu</x:t>
  </x:si>
  <x:si>
    <x:t xml:space="preserve">KIỂM TRA: Tài sản = Nợ phải trả + Vốn chủ sở hữu?</x:t>
  </x:si>
  <x:si>
    <x:t xml:space="preserve">KIỂM TRA: Lợi nhuận giữ lại = tổng lợi nhuận sau thuế 3 tháng (bài 1)?</x:t>
  </x:si>
  <x:si>
    <x:t xml:space="preserve">BÀI 3 · BÁO CÁO LƯU CHUYỂN TIỀN TỆ 3 tháng, phương pháp gián tiếp. Tiền vào ghi số dương, tiền ra ghi số âm; dòng 58–61 theo đúng chữ "Cộng" / "Trừ" ở đầu dòng.</x:t>
  </x:si>
  <x:si>
    <x:t xml:space="preserve">Cộng: khấu hao (không phải tiền chi ra) → số dương</x:t>
  </x:si>
  <x:si>
    <x:t xml:space="preserve">Trừ: phải thu khách hàng tăng thêm (đã ghi doanh thu, chưa thu tiền) → số âm</x:t>
  </x:si>
  <x:si>
    <x:t xml:space="preserve">Cộng: phải trả nhà cung cấp tăng thêm (đã ghi chi phí, chưa trả tiền) → số dương</x:t>
  </x:si>
  <x:si>
    <x:t xml:space="preserve">Cộng: doanh thu chưa thực hiện tăng thêm (khách trả trước) → số dương</x:t>
  </x:si>
  <x:si>
    <x:t xml:space="preserve">Dòng tiền từ hoạt động kinh doanh</x:t>
  </x:si>
  <x:si>
    <x:t xml:space="preserve">Mua máy chủ (tiền ra → số âm)</x:t>
  </x:si>
  <x:si>
    <x:t xml:space="preserve">Dòng tiền từ hoạt động đầu tư</x:t>
  </x:si>
  <x:si>
    <x:t xml:space="preserve">Góp vốn (tiền vào → số dương)</x:t>
  </x:si>
  <x:si>
    <x:t xml:space="preserve">Vay ngân hàng (tiền vào → số dương)</x:t>
  </x:si>
  <x:si>
    <x:t xml:space="preserve">Dòng tiền từ hoạt động tài chính</x:t>
  </x:si>
  <x:si>
    <x:t xml:space="preserve">Tiền tăng thêm trong kỳ</x:t>
  </x:si>
  <x:si>
    <x:t xml:space="preserve">Tiền đầu kỳ</x:t>
  </x:si>
  <x:si>
    <x:t xml:space="preserve">Tiền cuối kỳ</x:t>
  </x:si>
  <x:si>
    <x:t xml:space="preserve">KIỂM TRA: Tiền cuối kỳ = dòng Tiền trên bảng cân đối?</x:t>
  </x:si>
  <x:si>
    <x:t xml:space="preserve">KIỂM TRA: Lợi nhuận sau thuế = bài 1?</x:t>
  </x:si>
  <x:si>
    <x:t xml:space="preserve">CÂU HỎI 1–4 (làm sau Bài 2 và 3; câu 4 làm khi xong sớm). Mỗi câu 1–2 câu văn.</x:t>
  </x:si>
  <x:si>
    <x:t xml:space="preserve">1. Tháng nào có lãi? Trong tháng đó tiền mặt tăng hay giảm, bao nhiêu, vì sao? (Gợi ý: chỉ cộng tiền thật vào và ra trong tháng đó: tiền gọi AI tháng 1 trả trong tháng 2; 90 triệu dự án Y chưa thu.)</x:t>
  </x:si>
  <x:si>
    <x:t xml:space="preserve">Tháng 2 lãi 2 triệu nhưng tiền giảm 88 triệu (1.077 → 989): 90 triệu dự án Y đã ghi doanh thu mà chưa thu, lại trả 15 triệu tiền gọi AI của tháng 1.</x:t>
  </x:si>
  <x:si>
    <x:t xml:space="preserve">2. 240 triệu ngân hàng X trả trước nằm ở đâu trên bảng cân đối cuối tháng 3, bao nhiêu? Vì sao không ghi hết vào doanh thu?</x:t>
  </x:si>
  <x:si>
    <x:t xml:space="preserve">180 triệu ở dòng Doanh thu chưa thực hiện (nợ phải trả): công ty còn nợ ngân hàng 9 tháng dịch vụ. Chỉ 60 triệu của 3 tháng đã phục vụ mới là doanh thu.</x:t>
  </x:si>
  <x:si>
    <x:t xml:space="preserve">3. Lỗ 174 triệu mà dòng tiền kinh doanh chỉ âm 19 triệu. Khoản nào bù vào? Có nên vui không?</x:t>
  </x:si>
  <x:si>
    <x:t xml:space="preserve">Chủ yếu là 180 triệu khách trả trước, thêm 35 triệu chưa trả nhà cung cấp và 30 triệu khấu hao. Đó là tiền còn nợ dịch vụ và nợ nhà cung cấp, không phải tiền lãi.</x:t>
  </x:si>
  <x:si>
    <x:t xml:space="preserve">4. (Xong sớm) Nếu từ tháng 4 mọi thứ giữ như tháng 3, công ty còn trụ được khoảng bao nhiêu tháng?</x:t>
  </x:si>
  <x:si>
    <x:t xml:space="preserve">Mỗi tháng thu 110, chi 188 (10 + 35 + 120 + 20 + 3), đốt 78 triệu. (921 + 90 triệu Y trả ở tháng 4) ÷ 78 ≈ 13 tháng.</x:t>
  </x:si>
  <x:si>
    <x:t xml:space="preserve">BÀI 5 · (Xong sớm) MUA MÁY CHỦ HAY THUÊ ĐÁM MÂY — so bằng giá trị hiện tại</x:t>
  </x:si>
  <x:si>
    <x:t xml:space="preserve">Mua: trả 360 triệu ngay, dùng 36 tháng. Thuê đám mây cùng cấu hình: 12 triệu/tháng, trả cuối mỗi tháng, trong 36 tháng. Bỏ qua chi phí vận hành và giá trị còn lại của máy.</x:t>
  </x:si>
  <x:si>
    <x:t xml:space="preserve">Giá mua máy chủ (triệu đồng)</x:t>
  </x:si>
  <x:si>
    <x:t xml:space="preserve">Tiền thuê mỗi tháng (triệu đồng)</x:t>
  </x:si>
  <x:si>
    <x:t xml:space="preserve">Số tháng</x:t>
  </x:si>
  <x:si>
    <x:t xml:space="preserve">Chi phí vốn / năm</x:t>
  </x:si>
  <x:si>
    <x:t xml:space="preserve">Giá trị hiện tại của 36 tháng tiền thuê. Gợi ý: =PV(C85/12; C84; -C83). Dấu trừ trước C83 để kết quả là số dương; máy đặt tiếng Anh dùng dấu phẩy thay dấu chấm phẩy.</x:t>
  </x:si>
  <x:si>
    <x:t xml:space="preserve">Nên mua hay thuê? (chọn Mua hoặc Thuê trong danh sách)</x:t>
  </x:si>
  <x:si>
    <x:t xml:space="preserve">Thuê</x:t>
  </x:si>
  <x:si>
    <x:t xml:space="preserve">Nếu chi phí vốn chỉ 8%/năm: giá trị hiện tại của tiền thuê (gợi ý: =PV(0,08/12; C84; -C83))</x:t>
  </x:si>
  <x:si>
    <x:t xml:space="preserve">Khi đó nên mua hay thuê?</x:t>
  </x:si>
  <x:si>
    <x:t xml:space="preserve">Mua</x:t>
  </x:si>
  <x:si>
    <x:t xml:space="preserve">1 · Chi phí để AI làm xong 1 việc</x:t>
  </x:si>
  <x:si>
    <x:t xml:space="preserve">'Việc' = 1 đơn vị công việc khách nhận được, ví dụ: 1 hội thoại được trả lời, 1 hồ sơ được đọc, 1 cuộc gọi.</x:t>
  </x:si>
  <x:si>
    <x:t xml:space="preserve">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x:t>
  </x:si>
  <x:si>
    <x:t xml:space="preserve">Hạng mục</x:t>
  </x:si>
  <x:si>
    <x:t xml:space="preserve">Giá trị</x:t>
  </x:si>
  <x:si>
    <x:t xml:space="preserve">Đơn vị</x:t>
  </x:si>
  <x:si>
    <x:t xml:space="preserve">Nguồn / lý do</x:t>
  </x:si>
  <x:si>
    <x:t xml:space="preserve">Gợi ý cách lấy số · bản mẫu</x:t>
  </x:si>
  <x:si>
    <x:t xml:space="preserve">Mô tả 1 việc (Ngày 22 gọi là job)</x:t>
  </x:si>
  <x:si>
    <x:t xml:space="preserve">Trợ lý AI trả lời 1 hội thoại Zalo của khách cho cửa hàng nhỏ</x:t>
  </x:si>
  <x:si>
    <x:t xml:space="preserve">Một câu: AI nhận gì, trả ra gì cho khách. Bản mẫu: trả lời 1 hội thoại Zalo của khách cho cửa hàng nhỏ.</x:t>
  </x:si>
  <x:si>
    <x:t xml:space="preserve">Số lần gọi mô hình / việc</x:t>
  </x:si>
  <x:si>
    <x:t xml:space="preserve">lần</x:t>
  </x:si>
  <x:si>
    <x:t xml:space="preserve">Trợ lý AI: hiểu câu hỏi → tra cứu → soạn trả lời</x:t>
  </x:si>
  <x:si>
    <x:t xml:space="preserve">Đếm số bước phải gọi mô hình cho 1 việc: hiểu câu hỏi, tra cứu, soạn trả lời, tự kiểm tra. Bản mẫu: 2.</x:t>
  </x:si>
  <x:si>
    <x:t xml:space="preserve">Token đầu vào / lần gọi</x:t>
  </x:si>
  <x:si>
    <x:t xml:space="preserve">token</x:t>
  </x:si>
  <x:si>
    <x:t xml:space="preserve">Câu lệnh + ngữ cảnh + lịch sử hội thoại (giả định minh hoạ)</x:t>
  </x:si>
  <x:si>
    <x:t xml:space="preserve">Gồm câu lệnh hệ thống + tài liệu tra cứu + lịch sử hội thoại + câu hỏi. Có bảng giám sát agent thì lấy số thật; chưa có thì chạy thử 5 câu và xem số token ở trang quản lý API. Bản mẫu: 2.000.</x:t>
  </x:si>
  <x:si>
    <x:t xml:space="preserve">Token đầu ra / lần gọi</x:t>
  </x:si>
  <x:si>
    <x:t xml:space="preserve">Giả định minh hoạ: câu trả lời ngắn 1–3 câu tiếng Việt</x:t>
  </x:si>
  <x:si>
    <x:t xml:space="preserve">Độ dài câu trả lời, đếm bằng cách chạy thử. Bản mẫu: 300 (1–3 câu ngắn).</x:t>
  </x:si>
  <x:si>
    <x:t xml:space="preserve">Giá token đầu vào</x:t>
  </x:si>
  <x:si>
    <x:t xml:space="preserve">USD / 1 triệu token</x:t>
  </x:si>
  <x:si>
    <x:t xml:space="preserve">Mô hình nhỏ giả định; giá nằm giữa GPT-6 Luna (0,10) và Claude Haiku 4.5 (1) — xem trang 9, tra ngày 04/10/2026</x:t>
  </x:si>
  <x:si>
    <x:t xml:space="preserve">Chọn 1 mô hình ở trang 9 hoặc trang giá chính thức. Ghi tên mô hình, ngày tra, đường dẫn ở cột D. Bản mẫu: 0,4 USD (mô hình nhỏ giả định; nhóm thay bằng giá mô hình thật).</x:t>
  </x:si>
  <x:si>
    <x:t xml:space="preserve">Giá token đầu ra</x:t>
  </x:si>
  <x:si>
    <x:t xml:space="preserve">Như trên; GPT-6 Luna 0,50 · Claude Haiku 4.5 5 USD — xem trang 9</x:t>
  </x:si>
  <x:si>
    <x:t xml:space="preserve">Như dòng 9. Giá đầu ra thường cao hơn đầu vào nhiều lần. Bản mẫu: 1,6 USD.</x:t>
  </x:si>
  <x:si>
    <x:t xml:space="preserve">Tỷ giá</x:t>
  </x:si>
  <x:si>
    <x:t xml:space="preserve">VND / USD</x:t>
  </x:si>
  <x:si>
    <x:t xml:space="preserve">Làm tròn từ giá bán USD Vietcombank 26.170 đ ngày 04/10/2026 — xem trang 9</x:t>
  </x:si>
  <x:si>
    <x:t xml:space="preserve">Tỷ giá bán ra Vietcombank ở trang 9 (26.170 đồng, ngày 04/10/2026) hoặc tra mới, ghi ngày. Bản mẫu: 26.000.</x:t>
  </x:si>
  <x:si>
    <x:t xml:space="preserve">Tỷ lệ gọi lại khi lỗi</x:t>
  </x:si>
  <x:si>
    <x:t xml:space="preserve">%</x:t>
  </x:si>
  <x:si>
    <x:t xml:space="preserve">Giả định minh hoạ: sai định dạng, hết thời gian chờ, công cụ lỗi</x:t>
  </x:si>
  <x:si>
    <x:t xml:space="preserve">Tỷ lệ việc phải gọi lại vì lỗi, hết thời gian chờ, trả lời hỏng. Chưa đo: giả định 5–10%, ghi lý do. Bản mẫu: 10%.</x:t>
  </x:si>
  <x:si>
    <x:t xml:space="preserve">Hạ tầng / việc (máy chủ, cơ sở dữ liệu, gửi tin)</x:t>
  </x:si>
  <x:si>
    <x:t xml:space="preserve">VND</x:t>
  </x:si>
  <x:si>
    <x:t xml:space="preserve">Chia chi phí hạ tầng hằng tháng cho số việc (giả định minh hoạ)</x:t>
  </x:si>
  <x:si>
    <x:t xml:space="preserve">Hoá đơn hạ tầng tăng theo lượt dùng (máy chủ, cơ sở dữ liệu, gửi tin) mỗi tháng ÷ số việc mỗi tháng. Phần trả cố định hằng tháng để ở trang 3, dòng 11. Bản mẫu: 100 đồng.</x:t>
  </x:si>
  <x:si>
    <x:t xml:space="preserve">Tỷ lệ việc cần người kiểm tra</x:t>
  </x:si>
  <x:si>
    <x:t xml:space="preserve">Ca khó, khiếu nại, đơn giá trị lớn (giả định minh hoạ)</x:t>
  </x:si>
  <x:si>
    <x:t xml:space="preserve">Lấy từ báo cáo đánh giá chất lượng (tỷ lệ trả lời chưa đạt). Chưa có: giả định 10–20%. Bản mẫu: 10%.</x:t>
  </x:si>
  <x:si>
    <x:t xml:space="preserve">Số phút người kiểm tra / việc</x:t>
  </x:si>
  <x:si>
    <x:t xml:space="preserve">phút</x:t>
  </x:si>
  <x:si>
    <x:t xml:space="preserve">Giả định minh hoạ: đọc lại và sửa 1 câu trả lời</x:t>
  </x:si>
  <x:si>
    <x:t xml:space="preserve">Thời gian 1 người đọc và sửa 1 kết quả. Bản mẫu: 1,5 phút.</x:t>
  </x:si>
  <x:si>
    <x:t xml:space="preserve">Chi phí nhân sự kiểm tra</x:t>
  </x:si>
  <x:si>
    <x:t xml:space="preserve">VND / giờ</x:t>
  </x:si>
  <x:si>
    <x:t xml:space="preserve">Gồm lương + bảo hiểm; giả định minh hoạ, cao hơn lương tối thiểu giờ vùng I 25.500 đ (trang 9)</x:t>
  </x:si>
  <x:si>
    <x:t xml:space="preserve">Bằng (lương tháng + bảo hiểm) ÷ số giờ làm mỗi tháng (khoảng 176–208 giờ). Lương tối thiểu ở trang 9 chỉ là mức sàn. Bản mẫu: 60.000 đồng/giờ.</x:t>
  </x:si>
  <x:si>
    <x:t xml:space="preserve">Đánh giá chất lượng, giám sát, gán nhãn lại / việc</x:t>
  </x:si>
  <x:si>
    <x:t xml:space="preserve">Chia chi phí đánh giá và gán nhãn hằng tháng cho số việc (giả định minh hoạ)</x:t>
  </x:si>
  <x:si>
    <x:t xml:space="preserve">Chi phí chạy bộ câu hỏi đánh giá, gán nhãn lại mỗi tháng ÷ số việc mỗi tháng. Bản mẫu: 60 đồng.</x:t>
  </x:si>
  <x:si>
    <x:t xml:space="preserve">Chi phí khác / việc (tuân thủ, lưu nhật ký…)</x:t>
  </x:si>
  <x:si>
    <x:t xml:space="preserve">Giả định minh hoạ: lưu nhật ký 12 tháng; chưa tính tư vấn tuân thủ</x:t>
  </x:si>
  <x:si>
    <x:t xml:space="preserve">Lưu nhật ký, bảo mật, tuân thủ. Ghi 0 thì nói vì sao. Bản mẫu: 30 đồng.</x:t>
  </x:si>
  <x:si>
    <x:t xml:space="preserve">KẾT QUẢ</x:t>
  </x:si>
  <x:si>
    <x:t xml:space="preserve">Chi phí gọi AI / việc (đã tính gọi lại)</x:t>
  </x:si>
  <x:si>
    <x:t xml:space="preserve">Chi phí người kiểm tra / việc</x:t>
  </x:si>
  <x:si>
    <x:t xml:space="preserve">Hạ tầng + đánh giá + khác / việc</x:t>
  </x:si>
  <x:si>
    <x:t xml:space="preserve">TỔNG CHI PHÍ MỖI VIỆC</x:t>
  </x:si>
  <x:si>
    <x:t xml:space="preserve">Bản mẫu: khoảng 413 đồng mỗi việc, trong đó gọi AI chỉ khoảng 73 đồng.</x:t>
  </x:si>
  <x:si>
    <x:t xml:space="preserve">Phần chìm so với chi phí gọi AI</x:t>
  </x:si>
  <x:si>
    <x:t xml:space="preserve">Dưới 30%: rà lại xem đã đủ các khoản chưa (kinh nghiệm giảng viên). Không thêm khoản bịa chỉ để đạt mốc.</x:t>
  </x:si>
  <x:si>
    <x:t xml:space="preserve">Giá sàn mỗi việc = 3 × chi phí mỗi việc</x:t>
  </x:si>
  <x:si>
    <x:t xml:space="preserve">Dùng cho giá từng việc, kể cả giá vượt hạn mức (biên ≈ 67%): chừa đệm cho khách dùng nhiều và giá AI biến động</x:t>
  </x:si>
  <x:si>
    <x:t xml:space="preserve">Giá tối thiểu để biên lợi nhuận gộp đạt 60%</x:t>
  </x:si>
  <x:si>
    <x:t xml:space="preserve">Giá bình quân mỗi việc của cả tệp khách nên cao hơn số này (để biên bình quân ≥ 60%, trang 4 và 7). Giá từng việc, kể cả phí vượt, dùng dòng 26.</x:t>
  </x:si>
  <x:si>
    <x:t xml:space="preserve">2 · Định giá: cách tính tiền, gói giá và nhóm khách dùng nhiều</x:t>
  </x:si>
  <x:si>
    <x:t xml:space="preserve">So sánh gói kết hợp (phí cố định + phí vượt hạn mức) với gói không giới hạn để thấy rủi ro từ nhóm khách dùng nhiều.</x:t>
  </x:si>
  <x:si>
    <x:t xml:space="preserve">Mục</x:t>
  </x:si>
  <x:si>
    <x:t xml:space="preserve">Khách trả tiền từ ngân sách nào?</x:t>
  </x:si>
  <x:si>
    <x:t xml:space="preserve">Ngân sách nhân sự (thay 1 ca trực tin nhắn)</x:t>
  </x:si>
  <x:si>
    <x:t xml:space="preserve">Phần mềm hay Nhân sự?</x:t>
  </x:si>
  <x:si>
    <x:t xml:space="preserve">Sản phẩm thay một phần ca trực tin nhắn</x:t>
  </x:si>
  <x:si>
    <x:t xml:space="preserve">Cách tính tiền đã chọn</x:t>
  </x:si>
  <x:si>
    <x:t xml:space="preserve">Kết hợp (phí cố định + vượt hạn mức)</x:t>
  </x:si>
  <x:si>
    <x:t xml:space="preserve">Bảng giá dưới luôn có dạng phí cố định + phí mỗi việc vượt hạn mức. Cách nhập cho từng cách tính tiền: dòng 35–40.</x:t>
  </x:si>
  <x:si>
    <x:t xml:space="preserve">Lý do chọn (hai câu hỏi: đo được kết quả? AI tự làm trọn?)</x:t>
  </x:si>
  <x:si>
    <x:t xml:space="preserve">Ma trận Ngày 22: AI tự làm trọn (chỉ 10% việc cần người), chưa đo được kết quả do AI → theo lượt dùng. Đóng thành gói 300 việc + phí vượt (bước "gói cố định" của Ngày 22) để khách đoán được hoá đơn</x:t>
  </x:si>
  <x:si>
    <x:t xml:space="preserve">Neo giá so với cái gì?</x:t>
  </x:si>
  <x:si>
    <x:t xml:space="preserve">Lương 1 nhân viên trực tin nhắn bán thời gian ~4–5 triệu/tháng</x:t>
  </x:si>
  <x:si>
    <x:t xml:space="preserve">Lương hoặc chi phí thuê ngoài, không so với giá ChatGPT</x:t>
  </x:si>
  <x:si>
    <x:t xml:space="preserve">Giả định minh hoạ; cần phỏng vấn chủ cửa hàng</x:t>
  </x:si>
  <x:si>
    <x:t xml:space="preserve">Phí cố định / khách / tháng</x:t>
  </x:si>
  <x:si>
    <x:t xml:space="preserve">Khoảng 1/10 lương ca trực (giả định minh hoạ)</x:t>
  </x:si>
  <x:si>
    <x:t xml:space="preserve">Số việc đã gồm trong phí cố định</x:t>
  </x:si>
  <x:si>
    <x:t xml:space="preserve">việc / tháng</x:t>
  </x:si>
  <x:si>
    <x:t xml:space="preserve">Giả định: cửa hàng nhỏ ~10 hội thoại/ngày</x:t>
  </x:si>
  <x:si>
    <x:t xml:space="preserve">Giá mỗi việc vượt hạn mức</x:t>
  </x:si>
  <x:si>
    <x:t xml:space="preserve">VND / việc</x:t>
  </x:si>
  <x:si>
    <x:t xml:space="preserve">Phải ≥ giá sàn mỗi việc ở trang 1</x:t>
  </x:si>
  <x:si>
    <x:t xml:space="preserve">Giá gói không giới hạn (để so sánh; thường = phí cố định dòng 9)</x:t>
  </x:si>
  <x:si>
    <x:t xml:space="preserve">VND / tháng</x:t>
  </x:si>
  <x:si>
    <x:t xml:space="preserve">Bằng phí cố định, chỉ để so sánh rủi ro</x:t>
  </x:si>
  <x:si>
    <x:t xml:space="preserve">Nhóm khách</x:t>
  </x:si>
  <x:si>
    <x:t xml:space="preserve">Tỷ trọng số khách (2 dòng cộng = 100%)</x:t>
  </x:si>
  <x:si>
    <x:t xml:space="preserve">Số việc / 1 khách / tháng</x:t>
  </x:si>
  <x:si>
    <x:t xml:space="preserve">Doanh thu / khách (gói kết hợp)</x:t>
  </x:si>
  <x:si>
    <x:t xml:space="preserve">Chi phí AI / khách (= số việc × chi phí mỗi việc)</x:t>
  </x:si>
  <x:si>
    <x:t xml:space="preserve">Biên lợi nhuận gộp (kết hợp)</x:t>
  </x:si>
  <x:si>
    <x:t xml:space="preserve">Doanh thu / khách (không giới hạn)</x:t>
  </x:si>
  <x:si>
    <x:t xml:space="preserve">Biên lợi nhuận gộp (không giới hạn)</x:t>
  </x:si>
  <x:si>
    <x:t xml:space="preserve">Khách thường</x:t>
  </x:si>
  <x:si>
    <x:t xml:space="preserve">Giả định minh hoạ: cửa hàng nhỏ, dùng trong hạn mức</x:t>
  </x:si>
  <x:si>
    <x:t xml:space="preserve">Khách dùng nhiều</x:t>
  </x:si>
  <x:si>
    <x:t xml:space="preserve">Giả định minh hoạ: cửa hàng đông khách ~100 hội thoại/ngày</x:t>
  </x:si>
  <x:si>
    <x:t xml:space="preserve">BÌNH QUÂN (theo tỷ trọng)</x:t>
  </x:si>
  <x:si>
    <x:t xml:space="preserve">Kiểm tra: tổng tỷ trọng phải = 100%</x:t>
  </x:si>
  <x:si>
    <x:t xml:space="preserve">Kiểm tra: giá mỗi việc vượt hạn mức ≥ giá sàn mỗi việc (trang 1, dòng 26)?</x:t>
  </x:si>
  <x:si>
    <x:t xml:space="preserve">Tỷ trọng doanh thu đến từ khách dùng nhiều</x:t>
  </x:si>
  <x:si>
    <x:t xml:space="preserve">Trong đó: phí vượt hạn mức</x:t>
  </x:si>
  <x:si>
    <x:t xml:space="preserve">Cảnh báo phụ thuộc</x:t>
  </x:si>
  <x:si>
    <x:t xml:space="preserve">PHÉP THỬ GIÁ: dùng chính quy tắc của Ngày 22 và chỉ số của Ngày 23</x:t>
  </x:si>
  <x:si>
    <x:t xml:space="preserve">Lương 1 tháng của người được thay</x:t>
  </x:si>
  <x:si>
    <x:t xml:space="preserve">Giả định minh hoạ: nhân viên trực tin nhắn bán thời gian 4–5 triệu</x:t>
  </x:si>
  <x:si>
    <x:t xml:space="preserve">Tỷ lệ chia doanh thu cho đối tác / kênh bán</x:t>
  </x:si>
  <x:si>
    <x:t xml:space="preserve">% doanh thu</x:t>
  </x:si>
  <x:si>
    <x:t xml:space="preserve">Bán trực tiếp nên 0%. Bán qua đối tác thì nhập tỷ lệ chia</x:t>
  </x:si>
  <x:si>
    <x:t xml:space="preserve">Trả mỗi tháng</x:t>
  </x:si>
  <x:si>
    <x:t xml:space="preserve">So với lương người được thay</x:t>
  </x:si>
  <x:si>
    <x:t xml:space="preserve">Quy tắc neo 50–70% lương (Ngày 22)</x:t>
  </x:si>
  <x:si>
    <x:t xml:space="preserve">Tiền AI ÷ doanh thu (chỉ số Ngày 23)</x:t>
  </x:si>
  <x:si>
    <x:t xml:space="preserve">Mức theo Ngày 23</x:t>
  </x:si>
  <x:si>
    <x:t xml:space="preserve">Khách dùng nhiều, gói kết hợp</x:t>
  </x:si>
  <x:si>
    <x:t xml:space="preserve">Khách dùng nhiều, nếu bán gói không giới hạn</x:t>
  </x:si>
  <x:si>
    <x:t xml:space="preserve">Biên lợi nhuận gộp bình quân sau khi chia cho đối tác</x:t>
  </x:si>
  <x:si>
    <x:t xml:space="preserve">Ngày 23: trên 50% ổn · 35–50% đáng lo · dưới 35% nguy</x:t>
  </x:si>
  <x:si>
    <x:t xml:space="preserve">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x:t>
  </x:si>
  <x:si>
    <x:t xml:space="preserve">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x:t>
  </x:si>
  <x:si>
    <x:t xml:space="preserve">CÁCH NHẬP DÒNG 9–12 THEO CÁCH TÍNH TIỀN ĐÃ CHỌN Ở DÒNG 6</x:t>
  </x:si>
  <x:si>
    <x:t xml:space="preserve">Theo lượt dùng</x:t>
  </x:si>
  <x:si>
    <x:t xml:space="preserve">Dòng 9 = 0 · dòng 10 = 0 · dòng 11 = giá mỗi việc</x:t>
  </x:si>
  <x:si>
    <x:t xml:space="preserve">Theo người dùng (tài khoản)</x:t>
  </x:si>
  <x:si>
    <x:t xml:space="preserve">Dòng 9 = giá mỗi tài khoản × số tài khoản của 1 khách · dòng 10 = mức dùng hợp lý · dòng 11 = phí vượt (không thu thì để trống, bỏ qua dòng 19, xem rủi ro ở dòng 31)</x:t>
  </x:si>
  <x:si>
    <x:t xml:space="preserve">Theo kết quả</x:t>
  </x:si>
  <x:si>
    <x:t xml:space="preserve">Dòng 9 = 0 · dòng 10 = 0 · dòng 11 = giá mỗi kết quả × tỷ lệ việc ra kết quả</x:t>
  </x:si>
  <x:si>
    <x:t xml:space="preserve">Kết hợp (bản mẫu)</x:t>
  </x:si>
  <x:si>
    <x:t xml:space="preserve">Dòng 9 = 499.000 · dòng 10 = 300 việc · dòng 11 = 1.500 đồng mỗi việc</x:t>
  </x:si>
  <x:si>
    <x:t xml:space="preserve">Dòng 12</x:t>
  </x:si>
  <x:si>
    <x:t xml:space="preserve">Chỉ để so sánh: nhập bằng phí cố định dòng 9; nếu dòng 9 = 0 thì nhập mức trọn gói nhóm từng cân nhắc.</x:t>
  </x:si>
  <x:si>
    <x:t xml:space="preserve">3 · Giả định cho 3 kịch bản</x:t>
  </x:si>
  <x:si>
    <x:t xml:space="preserve">Lạc quan = để trình bày với nhà đầu tư · Cơ sở = để lập kế hoạch · Xấu = để sống sót. Điền cột CƠ SỞ trước, có nguồn hoặc lý do cho từng dòng.</x:t>
  </x:si>
  <x:si>
    <x:t xml:space="preserve">Giả định</x:t>
  </x:si>
  <x:si>
    <x:t xml:space="preserve">Lạc quan</x:t>
  </x:si>
  <x:si>
    <x:t xml:space="preserve">Cơ sở</x:t>
  </x:si>
  <x:si>
    <x:t xml:space="preserve">Xấu</x:t>
  </x:si>
  <x:si>
    <x:t xml:space="preserve">Gợi ý · bản mẫu (Lạc quan / Cơ sở / Xấu)</x:t>
  </x:si>
  <x:si>
    <x:t xml:space="preserve">Hệ số doanh thu bình quân so với trang 2 (1 = giữ nguyên · 1,1 = cao hơn 10% · 0,8 = thấp hơn 20%)</x:t>
  </x:si>
  <x:si>
    <x:t xml:space="preserve">×</x:t>
  </x:si>
  <x:si>
    <x:t xml:space="preserve">Xấu: bị ép giảm giá; lạc quan: bán được gói cao hơn (giả định minh hoạ)</x:t>
  </x:si>
  <x:si>
    <x:t xml:space="preserve">Bản mẫu: 1,1 / 1 / 0,8. Xấu: bị ép giảm giá; lạc quan: bán được gói cao hơn.</x:t>
  </x:si>
  <x:si>
    <x:t xml:space="preserve">Hệ số chi phí AI / khách so với trang 2 (gõ như dòng 5)</x:t>
  </x:si>
  <x:si>
    <x:t xml:space="preserve">Giá gọi AI hoặc cách khách dùng thay đổi (giả định minh hoạ)</x:t>
  </x:si>
  <x:si>
    <x:t xml:space="preserve">Bản mẫu: 0,9 / 1 / 1,2. Giá gọi AI hoặc cách khách dùng thay đổi.</x:t>
  </x:si>
  <x:si>
    <x:t xml:space="preserve">Khách mới tháng 1 (số khách ký được trong tháng đầu bán)</x:t>
  </x:si>
  <x:si>
    <x:t xml:space="preserve">khách</x:t>
  </x:si>
  <x:si>
    <x:t xml:space="preserve">Giả định minh hoạ: 1 nhân viên bán hàng ký ~1 cửa hàng mỗi ngày làm việc</x:t>
  </x:si>
  <x:si>
    <x:t xml:space="preserve">Cơ sở: số khách đội bán hàng ký được thật trong tháng đầu. Bản mẫu: 40 / 30 / 15.</x:t>
  </x:si>
  <x:si>
    <x:t xml:space="preserve">Tăng trưởng khách mới / tháng (tính kép: 5%/tháng → tháng 24 gấp khoảng 3 lần tháng 1; 20%/tháng → gấp khoảng 66 lần)</x:t>
  </x:si>
  <x:si>
    <x:t xml:space="preserve">Giả định minh hoạ: nhờ khách giới thiệu và mở thêm kênh</x:t>
  </x:si>
  <x:si>
    <x:t xml:space="preserve">Bản mẫu: 8% / 5% / 2%. Trên 10% mỗi tháng cần lý do rất chắc.</x:t>
  </x:si>
  <x:si>
    <x:t xml:space="preserve">Tỷ lệ rời bỏ / tháng</x:t>
  </x:si>
  <x:si>
    <x:t xml:space="preserve">Giả định minh hoạ — chưa có nguồn công khai đã kiểm chứng (trang 9). Nhóm thật: lấy từ phỏng vấn hoặc thử nghiệm</x:t>
  </x:si>
  <x:si>
    <x:t xml:space="preserve">Chưa có số đo: lấy từ phỏng vấn hoặc thử nghiệm, ghi "Giả định". Xấu phải ≥ 1,5 × cơ sở. Bản mẫu: 3% / 5% / 8%.</x:t>
  </x:si>
  <x:si>
    <x:t xml:space="preserve">Chi phí có một khách (CAC) = tiền quảng cáo và bán hàng 1 tháng ÷ số khách mới tháng đó</x:t>
  </x:si>
  <x:si>
    <x:t xml:space="preserve">VND / khách</x:t>
  </x:si>
  <x:si>
    <x:t xml:space="preserve">Quảng cáo + bán hàng / khách mới; giả định minh hoạ, chưa có nguồn (trang 9)</x:t>
  </x:si>
  <x:si>
    <x:t xml:space="preserve">Xấu phải ≥ 1,5 × cơ sở. Bản mẫu: 1,2 / 1,5 / 2,3 triệu đồng.</x:t>
  </x:si>
  <x:si>
    <x:t xml:space="preserve">Chi phí cố định / tháng (lương đội, văn phòng, hạ tầng trả cố định)</x:t>
  </x:si>
  <x:si>
    <x:t xml:space="preserve">Đội 4–5 người, gồm lương và văn phòng (giả định minh hoạ)</x:t>
  </x:si>
  <x:si>
    <x:t xml:space="preserve">Gõ đủ số đồng. Gồm lương đội phát triển (đã tách khỏi trang 1) và chi phí kiểm thử lại mỗi khi đổi mô hình hoặc câu lệnh. Bản mẫu: 150 triệu.</x:t>
  </x:si>
  <x:si>
    <x:t xml:space="preserve">Chi phí xây dựng ban đầu, gồm chi phí thử sai (chi một lần ở tháng 0)</x:t>
  </x:si>
  <x:si>
    <x:t xml:space="preserve">3 lập trình viên × 4 tháng xây dựng và thử sai + hạ tầng, token chạy thử (giả định minh hoạ)</x:t>
  </x:si>
  <x:si>
    <x:t xml:space="preserve">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x:t>
  </x:si>
  <x:si>
    <x:t xml:space="preserve">Tiền mặt hoặc ngân sách đã duyệt (trước khi chi xây dựng)</x:t>
  </x:si>
  <x:si>
    <x:t xml:space="preserve">Giả định minh hoạ: vốn đã gọi được</x:t>
  </x:si>
  <x:si>
    <x:t xml:space="preserve">Gõ đủ số đồng. Dự án trong công ty: ghi ngân sách đã duyệt. Để trống thì mọi kịch bản hết tiền ngay tháng 1. Bản mẫu: 2 tỷ.</x:t>
  </x:si>
  <x:si>
    <x:t xml:space="preserve">Lãi suất chiết khấu / năm</x:t>
  </x:si>
  <x:si>
    <x:t xml:space="preserve">Giả định của lớp: chi phí vốn cho dự án rủi ro cao</x:t>
  </x:si>
  <x:si>
    <x:t xml:space="preserve">Giữ 15% nếu không có lý do khác.</x:t>
  </x:si>
  <x:si>
    <x:t xml:space="preserve">Giá trị tính ra</x:t>
  </x:si>
  <x:si>
    <x:t xml:space="preserve">Doanh thu bình quân / khách / tháng</x:t>
  </x:si>
  <x:si>
    <x:t xml:space="preserve">Chi phí AI (giá vốn) / khách / tháng</x:t>
  </x:si>
  <x:si>
    <x:t xml:space="preserve">Doanh thu bình quân đã trừ phần chia cho đối tác (trang 2, dòng 27).</x:t>
  </x:si>
  <x:si>
    <x:t xml:space="preserve">Kiểm tra kịch bản xấu</x:t>
  </x:si>
  <x:si>
    <x:t xml:space="preserve">Tỷ lệ rời bỏ (xấu) ≥ 1,5 × cơ sở?</x:t>
  </x:si>
  <x:si>
    <x:t xml:space="preserve">Chi phí có một khách (xấu) ≥ 1,5 × cơ sở?</x:t>
  </x:si>
  <x:si>
    <x:t xml:space="preserve">4 · Chỉ số trên mỗi khách: có lãi trên từng khách không?</x:t>
  </x:si>
  <x:si>
    <x:t xml:space="preserve">Giá trị vòng đời (LTV) tính trên lợi nhuận gộp, KHÔNG tính trên doanh thu.</x:t>
  </x:si>
  <x:si>
    <x:t xml:space="preserve">Chỉ số</x:t>
  </x:si>
  <x:si>
    <x:t xml:space="preserve">Ngưỡng tham khảo</x:t>
  </x:si>
  <x:si>
    <x:t xml:space="preserve">Lợi nhuận gộp / khách / tháng</x:t>
  </x:si>
  <x:si>
    <x:t xml:space="preserve">≥ 60%</x:t>
  </x:si>
  <x:si>
    <x:t xml:space="preserve">Số tháng khách ở lại = 1 ÷ tỷ lệ rời bỏ</x:t>
  </x:si>
  <x:si>
    <x:t xml:space="preserve">Giá trị vòng đời (LTV) = lợi nhuận gộp × số tháng ở lại</x:t>
  </x:si>
  <x:si>
    <x:t xml:space="preserve">Chi phí có một khách (CAC)</x:t>
  </x:si>
  <x:si>
    <x:t xml:space="preserve">LTV ÷ CAC (lần)</x:t>
  </x:si>
  <x:si>
    <x:t xml:space="preserve">&gt; 3 (Ngày 23); mô hình của bạn: trang 5, dòng 74</x:t>
  </x:si>
  <x:si>
    <x:t xml:space="preserve">Thời gian hoàn vốn chi phí có khách (tháng)</x:t>
  </x:si>
  <x:si>
    <x:t xml:space="preserve">&lt; 12 tháng</x:t>
  </x:si>
  <x:si>
    <x:t xml:space="preserve">Đánh giá</x:t>
  </x:si>
  <x:si>
    <x:t xml:space="preserve">5 · Dòng tiền 24 tháng và hiệu quả đầu tư (3 kịch bản)</x:t>
  </x:si>
  <x:si>
    <x:t xml:space="preserve">Trang này tự tính: chỉ đọc kết quả, trừ ô vàng B54 (mức làm xấu). Kết quả chỉ có nghĩa khi trang 1–3 đã điền đủ. Tháng 0 = chi phí xây dựng. Bảng độ nhạy ở dòng 53, mức cảnh báo tự tính ở dòng 70–77.</x:t>
  </x:si>
  <x:si>
    <x:t xml:space="preserve">Kịch bản / dòng</x:t>
  </x:si>
  <x:si>
    <x:t xml:space="preserve">Tháng 0</x:t>
  </x:si>
  <x:si>
    <x:t xml:space="preserve">T1</x:t>
  </x:si>
  <x:si>
    <x:t xml:space="preserve">T2</x:t>
  </x:si>
  <x:si>
    <x:t xml:space="preserve">T3</x:t>
  </x:si>
  <x:si>
    <x:t xml:space="preserve">T4</x:t>
  </x:si>
  <x:si>
    <x:t xml:space="preserve">T5</x:t>
  </x:si>
  <x:si>
    <x:t xml:space="preserve">T6</x:t>
  </x:si>
  <x:si>
    <x:t xml:space="preserve">T7</x:t>
  </x:si>
  <x:si>
    <x:t xml:space="preserve">T8</x:t>
  </x:si>
  <x:si>
    <x:t xml:space="preserve">T9</x:t>
  </x:si>
  <x:si>
    <x:t xml:space="preserve">T10</x:t>
  </x:si>
  <x:si>
    <x:t xml:space="preserve">T11</x:t>
  </x:si>
  <x:si>
    <x:t xml:space="preserve">T12</x:t>
  </x:si>
  <x:si>
    <x:t xml:space="preserve">T13</x:t>
  </x:si>
  <x:si>
    <x:t xml:space="preserve">T14</x:t>
  </x:si>
  <x:si>
    <x:t xml:space="preserve">T15</x:t>
  </x:si>
  <x:si>
    <x:t xml:space="preserve">T16</x:t>
  </x:si>
  <x:si>
    <x:t xml:space="preserve">T17</x:t>
  </x:si>
  <x:si>
    <x:t xml:space="preserve">T18</x:t>
  </x:si>
  <x:si>
    <x:t xml:space="preserve">T19</x:t>
  </x:si>
  <x:si>
    <x:t xml:space="preserve">T20</x:t>
  </x:si>
  <x:si>
    <x:t xml:space="preserve">T21</x:t>
  </x:si>
  <x:si>
    <x:t xml:space="preserve">T22</x:t>
  </x:si>
  <x:si>
    <x:t xml:space="preserve">T23</x:t>
  </x:si>
  <x:si>
    <x:t xml:space="preserve">T24</x:t>
  </x:si>
  <x:si>
    <x:t xml:space="preserve">LẠC QUAN</x:t>
  </x:si>
  <x:si>
    <x:t xml:space="preserve">Khách mới</x:t>
  </x:si>
  <x:si>
    <x:t xml:space="preserve">Khách đang dùng</x:t>
  </x:si>
  <x:si>
    <x:t xml:space="preserve">Chi phí AI (giá vốn)</x:t>
  </x:si>
  <x:si>
    <x:t xml:space="preserve">Chi phí bán hàng (chi phí có khách × khách mới)</x:t>
  </x:si>
  <x:si>
    <x:t xml:space="preserve">Chi phí cố định</x:t>
  </x:si>
  <x:si>
    <x:t xml:space="preserve">Dòng tiền ròng</x:t>
  </x:si>
  <x:si>
    <x:t xml:space="preserve">Tiền mặt cuối kỳ</x:t>
  </x:si>
  <x:si>
    <x:t xml:space="preserve">Dòng tiền lũy kế của dự án</x:t>
  </x:si>
  <x:si>
    <x:t xml:space="preserve">CƠ SỞ</x:t>
  </x:si>
  <x:si>
    <x:t xml:space="preserve">XẤU</x:t>
  </x:si>
  <x:si>
    <x:t xml:space="preserve">TÓM TẮT HIỆU QUẢ ĐẦU TƯ</x:t>
  </x:si>
  <x:si>
    <x:t xml:space="preserve">Giá trị hiện tại ròng 24 tháng (đồng; lớn hơn 0 là đáng làm)</x:t>
  </x:si>
  <x:si>
    <x:t xml:space="preserve">&gt; 0</x:t>
  </x:si>
  <x:si>
    <x:t xml:space="preserve">Tỷ suất hoàn vốn nội bộ (IRR, quy ra năm)</x:t>
  </x:si>
  <x:si>
    <x:t xml:space="preserve">&gt; chi phí vốn</x:t>
  </x:si>
  <x:si>
    <x:t xml:space="preserve">Lãi suất làm giá trị hiện tại ròng bằng 0; so với chi phí vốn 15%. Số rất lớn ở kịch bản lạc quan là do vốn quay về nhanh — chỉ dùng để so sánh, không đọc như lợi nhuận.</x:t>
  </x:si>
  <x:si>
    <x:t xml:space="preserve">Tiền mặt thấp nhất</x:t>
  </x:si>
  <x:si>
    <x:t xml:space="preserve">Tháng hết tiền</x:t>
  </x:si>
  <x:si>
    <x:t xml:space="preserve">Không hết trong 12 tháng đầu</x:t>
  </x:si>
  <x:si>
    <x:t xml:space="preserve">Chỉ báo khi tiền mặt âm trong 24 tháng. Kịch bản cơ sở có thể luôn "Không hết tiền" — khi thử độ nhạy, hãy nhìn giá trị hiện tại ròng.</x:t>
  </x:si>
  <x:si>
    <x:t xml:space="preserve">Hoàn vốn dự án</x:t>
  </x:si>
  <x:si>
    <x:t xml:space="preserve">&lt; 24 tháng</x:t>
  </x:si>
  <x:si>
    <x:t xml:space="preserve">Khách đang dùng tháng 24</x:t>
  </x:si>
  <x:si>
    <x:t xml:space="preserve">Doanh thu tháng 24</x:t>
  </x:si>
  <x:si>
    <x:t xml:space="preserve">BẢNG ĐỘ NHẠY (kịch bản cơ sở): làm xấu từng biến, mỗi lần một biến</x:t>
  </x:si>
  <x:si>
    <x:t xml:space="preserve">Mức làm xấu</x:t>
  </x:si>
  <x:si>
    <x:t xml:space="preserve">Có thể đổi thành 10% hoặc 30% để thử</x:t>
  </x:si>
  <x:si>
    <x:t xml:space="preserve">Biến làm xấu</x:t>
  </x:si>
  <x:si>
    <x:t xml:space="preserve">Giá trị cơ sở</x:t>
  </x:si>
  <x:si>
    <x:t xml:space="preserve">Giá trị sau khi làm xấu</x:t>
  </x:si>
  <x:si>
    <x:t xml:space="preserve">Giá trị hiện tại ròng 24 tháng (triệu đồng)</x:t>
  </x:si>
  <x:si>
    <x:t xml:space="preserve">Chênh lệch so với cơ sở (triệu đồng)</x:t>
  </x:si>
  <x:si>
    <x:t xml:space="preserve">Tháng hoàn vốn</x:t>
  </x:si>
  <x:si>
    <x:t xml:space="preserve">Mức nguy hiểm (1 = nhất)</x:t>
  </x:si>
  <x:si>
    <x:t xml:space="preserve">Không đổi (cơ sở)</x:t>
  </x:si>
  <x:si>
    <x:t xml:space="preserve">—</x:t>
  </x:si>
  <x:si>
    <x:t xml:space="preserve">Doanh thu bình quân giảm</x:t>
  </x:si>
  <x:si>
    <x:t xml:space="preserve">Chi phí AI tăng</x:t>
  </x:si>
  <x:si>
    <x:t xml:space="preserve">Tỷ lệ rời bỏ tăng</x:t>
  </x:si>
  <x:si>
    <x:t xml:space="preserve">Chi phí có một khách tăng</x:t>
  </x:si>
  <x:si>
    <x:t xml:space="preserve">Khách mới tháng đầu giảm</x:t>
  </x:si>
  <x:si>
    <x:t xml:space="preserve">Tăng trưởng khách mới giảm</x:t>
  </x:si>
  <x:si>
    <x:t xml:space="preserve">Chi phí cố định tăng</x:t>
  </x:si>
  <x:si>
    <x:t xml:space="preserve">Biến nguy hiểm nhất</x:t>
  </x:si>
  <x:si>
    <x:t xml:space="preserve">Tình huống: khách dùng nhiều bỏ đi, thay bằng khách thường</x:t>
  </x:si>
  <x:si>
    <x:t xml:space="preserve">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x:t>
  </x:si>
  <x:si>
    <x:t xml:space="preserve">MỨC CẢNH BÁO TỰ TÍNH (kịch bản cơ sở): chép vào cột [TỰ TÍNH] của bảng theo dõi Ngày 23. Nếu giá trị hiện tại ròng cơ sở (D57) đang âm, cột C là mức PHẢI ĐẠT để hoà vốn, chưa phải mức cảnh báo.</x:t>
  </x:si>
  <x:si>
    <x:t xml:space="preserve">Cơ sở hiện tại</x:t>
  </x:si>
  <x:si>
    <x:t xml:space="preserve">Mức hoà vốn (giá trị hiện tại ròng 24 tháng = 0)</x:t>
  </x:si>
  <x:si>
    <x:t xml:space="preserve">Còn cách (so với hiện tại)</x:t>
  </x:si>
  <x:si>
    <x:t xml:space="preserve">Cách dùng trong bảng theo dõi Ngày 23</x:t>
  </x:si>
  <x:si>
    <x:t xml:space="preserve">Doanh thu bình quân / khách / tháng (VND)</x:t>
  </x:si>
  <x:si>
    <x:t xml:space="preserve">Dưới mức này là "nguy"</x:t>
  </x:si>
  <x:si>
    <x:t xml:space="preserve">Dưới mức này là "nguy". Ngày 22 nói 60%: đây là con số của chính mô hình</x:t>
  </x:si>
  <x:si>
    <x:t xml:space="preserve">Chi phí có một khách tối đa (VND)</x:t>
  </x:si>
  <x:si>
    <x:t xml:space="preserve">Khách mới tháng đầu tối thiểu</x:t>
  </x:si>
  <x:si>
    <x:t xml:space="preserve">Chỉ số báo sớm: số cửa hàng ký mới mỗi tháng</x:t>
  </x:si>
  <x:si>
    <x:t xml:space="preserve">Chi phí cố định tối đa / tháng (VND)</x:t>
  </x:si>
  <x:si>
    <x:t xml:space="preserve">Trần chi cho đội và văn phòng</x:t>
  </x:si>
  <x:si>
    <x:t xml:space="preserve">Tỷ lệ chia doanh thu cho đối tác tối đa</x:t>
  </x:si>
  <x:si>
    <x:t xml:space="preserve">Trần khi đàm phán với đối tác. Ngày 23 chỉ đòi biên sau chia trên 50%</x:t>
  </x:si>
  <x:si>
    <x:t xml:space="preserve">BẢNG TÍNH PHỤ CHO ĐỘ NHẠY — đã ẩn, không cần đọc</x:t>
  </x:si>
  <x:si>
    <x:t xml:space="preserve">Kịch bản</x:t>
  </x:si>
  <x:si>
    <x:t xml:space="preserve">Doanh thu bình quân</x:t>
  </x:si>
  <x:si>
    <x:t xml:space="preserve">Chi phí AI / khách</x:t>
  </x:si>
  <x:si>
    <x:t xml:space="preserve">Khách mới tháng 1</x:t>
  </x:si>
  <x:si>
    <x:t xml:space="preserve">Tăng trưởng</x:t>
  </x:si>
  <x:si>
    <x:t xml:space="preserve">Tỷ lệ rời bỏ</x:t>
  </x:si>
  <x:si>
    <x:t xml:space="preserve">Chi phí có khách</x:t>
  </x:si>
  <x:si>
    <x:t xml:space="preserve">Chi phí xây dựng</x:t>
  </x:si>
  <x:si>
    <x:t xml:space="preserve">Tiền mặt</x:t>
  </x:si>
  <x:si>
    <x:t xml:space="preserve">Lãi suất</x:t>
  </x:si>
  <x:si>
    <x:t xml:space="preserve">KB0 · Không đổi (cơ sở)</x:t>
  </x:si>
  <x:si>
    <x:t xml:space="preserve">KB1 · Doanh thu bình quân giảm</x:t>
  </x:si>
  <x:si>
    <x:t xml:space="preserve">KB2 · Chi phí AI tăng</x:t>
  </x:si>
  <x:si>
    <x:t xml:space="preserve">KB3 · Tỷ lệ rời bỏ tăng</x:t>
  </x:si>
  <x:si>
    <x:t xml:space="preserve">KB4 · Chi phí có một khách tăng</x:t>
  </x:si>
  <x:si>
    <x:t xml:space="preserve">KB5 · Khách mới tháng đầu giảm</x:t>
  </x:si>
  <x:si>
    <x:t xml:space="preserve">KB6 · Tăng trưởng khách mới giảm</x:t>
  </x:si>
  <x:si>
    <x:t xml:space="preserve">KB7 · Chi phí cố định tăng</x:t>
  </x:si>
  <x:si>
    <x:t xml:space="preserve">KB8 · Tình huống: khách dùng nhiều bỏ đi, thay bằng khách thường</x:t>
  </x:si>
  <x:si>
    <x:t xml:space="preserve">KB0 · Khách mới</x:t>
  </x:si>
  <x:si>
    <x:t xml:space="preserve">KB0 · Khách đang dùng</x:t>
  </x:si>
  <x:si>
    <x:t xml:space="preserve">KB0 · Dòng tiền ròng</x:t>
  </x:si>
  <x:si>
    <x:t xml:space="preserve">KB0 · Tiền mặt cuối kỳ</x:t>
  </x:si>
  <x:si>
    <x:t xml:space="preserve">KB0 · Dòng tiền lũy kế</x:t>
  </x:si>
  <x:si>
    <x:t xml:space="preserve">KB1 · Khách mới</x:t>
  </x:si>
  <x:si>
    <x:t xml:space="preserve">KB1 · Khách đang dùng</x:t>
  </x:si>
  <x:si>
    <x:t xml:space="preserve">KB1 · Dòng tiền ròng</x:t>
  </x:si>
  <x:si>
    <x:t xml:space="preserve">KB1 · Tiền mặt cuối kỳ</x:t>
  </x:si>
  <x:si>
    <x:t xml:space="preserve">KB1 · Dòng tiền lũy kế</x:t>
  </x:si>
  <x:si>
    <x:t xml:space="preserve">KB2 · Khách mới</x:t>
  </x:si>
  <x:si>
    <x:t xml:space="preserve">KB2 · Khách đang dùng</x:t>
  </x:si>
  <x:si>
    <x:t xml:space="preserve">KB2 · Dòng tiền ròng</x:t>
  </x:si>
  <x:si>
    <x:t xml:space="preserve">KB2 · Tiền mặt cuối kỳ</x:t>
  </x:si>
  <x:si>
    <x:t xml:space="preserve">KB2 · Dòng tiền lũy kế</x:t>
  </x:si>
  <x:si>
    <x:t xml:space="preserve">KB3 · Khách mới</x:t>
  </x:si>
  <x:si>
    <x:t xml:space="preserve">KB3 · Khách đang dùng</x:t>
  </x:si>
  <x:si>
    <x:t xml:space="preserve">KB3 · Dòng tiền ròng</x:t>
  </x:si>
  <x:si>
    <x:t xml:space="preserve">KB3 · Tiền mặt cuối kỳ</x:t>
  </x:si>
  <x:si>
    <x:t xml:space="preserve">KB3 · Dòng tiền lũy kế</x:t>
  </x:si>
  <x:si>
    <x:t xml:space="preserve">KB4 · Khách mới</x:t>
  </x:si>
  <x:si>
    <x:t xml:space="preserve">KB4 · Khách đang dùng</x:t>
  </x:si>
  <x:si>
    <x:t xml:space="preserve">KB4 · Dòng tiền ròng</x:t>
  </x:si>
  <x:si>
    <x:t xml:space="preserve">KB4 · Tiền mặt cuối kỳ</x:t>
  </x:si>
  <x:si>
    <x:t xml:space="preserve">KB4 · Dòng tiền lũy kế</x:t>
  </x:si>
  <x:si>
    <x:t xml:space="preserve">KB5 · Khách mới</x:t>
  </x:si>
  <x:si>
    <x:t xml:space="preserve">KB5 · Khách đang dùng</x:t>
  </x:si>
  <x:si>
    <x:t xml:space="preserve">KB5 · Dòng tiền ròng</x:t>
  </x:si>
  <x:si>
    <x:t xml:space="preserve">KB5 · Tiền mặt cuối kỳ</x:t>
  </x:si>
  <x:si>
    <x:t xml:space="preserve">KB5 · Dòng tiền lũy kế</x:t>
  </x:si>
  <x:si>
    <x:t xml:space="preserve">KB6 · Khách mới</x:t>
  </x:si>
  <x:si>
    <x:t xml:space="preserve">KB6 · Khách đang dùng</x:t>
  </x:si>
  <x:si>
    <x:t xml:space="preserve">KB6 · Dòng tiền ròng</x:t>
  </x:si>
  <x:si>
    <x:t xml:space="preserve">KB6 · Tiền mặt cuối kỳ</x:t>
  </x:si>
  <x:si>
    <x:t xml:space="preserve">KB6 · Dòng tiền lũy kế</x:t>
  </x:si>
  <x:si>
    <x:t xml:space="preserve">KB7 · Khách mới</x:t>
  </x:si>
  <x:si>
    <x:t xml:space="preserve">KB7 · Khách đang dùng</x:t>
  </x:si>
  <x:si>
    <x:t xml:space="preserve">KB7 · Dòng tiền ròng</x:t>
  </x:si>
  <x:si>
    <x:t xml:space="preserve">KB7 · Tiền mặt cuối kỳ</x:t>
  </x:si>
  <x:si>
    <x:t xml:space="preserve">KB7 · Dòng tiền lũy kế</x:t>
  </x:si>
  <x:si>
    <x:t xml:space="preserve">KB8 · Khách mới</x:t>
  </x:si>
  <x:si>
    <x:t xml:space="preserve">KB8 · Khách đang dùng</x:t>
  </x:si>
  <x:si>
    <x:t xml:space="preserve">KB8 · Dòng tiền ròng</x:t>
  </x:si>
  <x:si>
    <x:t xml:space="preserve">KB8 · Tiền mặt cuối kỳ</x:t>
  </x:si>
  <x:si>
    <x:t xml:space="preserve">KB8 · Dòng tiền lũy kế</x:t>
  </x:si>
  <x:si>
    <x:t xml:space="preserve">6 · Hiệu quả dự án AI dùng trong nội bộ (khi sản phẩm phục vụ chính công ty)</x:t>
  </x:si>
  <x:si>
    <x:t xml:space="preserve">Hiệu quả = (giá trị tạo ra − chi phí vận hành) so với chi phí đầu tư một lần. Không dùng thay cho trang 3–5 nếu sản phẩm bán ra thị trường.</x:t>
  </x:si>
  <x:si>
    <x:t xml:space="preserve">Lưu ý: giờ tiết kiệm chỉ thành tiền khi được dùng vào việc khác hoặc giúp giảm tuyển mới. Nếu không, chỉ ghi phần đo được ở dòng 9 và nói rõ lý do.</x:t>
  </x:si>
  <x:si>
    <x:t xml:space="preserve">Số nhân sự dùng công cụ</x:t>
  </x:si>
  <x:si>
    <x:t xml:space="preserve">người</x:t>
  </x:si>
  <x:si>
    <x:t xml:space="preserve">Giả định minh hoạ: 1 phòng ban 30 người</x:t>
  </x:si>
  <x:si>
    <x:t xml:space="preserve">Số người sẽ dùng công cụ. Bản mẫu: 30 (1 phòng ban).</x:t>
  </x:si>
  <x:si>
    <x:t xml:space="preserve">Giờ tiết kiệm / người / tuần (chỉ tính giờ được dùng vào việc khác hoặc giúp giảm tuyển)</x:t>
  </x:si>
  <x:si>
    <x:t xml:space="preserve">giờ</x:t>
  </x:si>
  <x:si>
    <x:t xml:space="preserve">Đo bằng pilot, không ước đoán</x:t>
  </x:si>
  <x:si>
    <x:t xml:space="preserve">Chỉ tính giờ được dùng vào việc khác hoặc giúp giảm tuyển. Đo bằng thử nghiệm. Bản mẫu: 5 / 3 / 1,5.</x:t>
  </x:si>
  <x:si>
    <x:t xml:space="preserve">Tỷ lệ người dùng thật</x:t>
  </x:si>
  <x:si>
    <x:t xml:space="preserve">Người dùng đều đặn / tổng số</x:t>
  </x:si>
  <x:si>
    <x:t xml:space="preserve">Người dùng đều đặn ÷ tổng số người. Bản mẫu: 80% / 60% / 35%.</x:t>
  </x:si>
  <x:si>
    <x:t xml:space="preserve">Chi phí 1 giờ công (gồm phúc lợi)</x:t>
  </x:si>
  <x:si>
    <x:t xml:space="preserve">Giả định minh hoạ: lương + bảo hiểm + phúc lợi nhân viên văn phòng</x:t>
  </x:si>
  <x:si>
    <x:t xml:space="preserve">Lương + bảo hiểm + phúc lợi ÷ số giờ làm. Bản mẫu: 120.000.</x:t>
  </x:si>
  <x:si>
    <x:t xml:space="preserve">Giá trị khác / tháng (doanh thu tăng, giảm lỗi…)</x:t>
  </x:si>
  <x:si>
    <x:t xml:space="preserve">Chỉ đưa vào nếu đo được</x:t>
  </x:si>
  <x:si>
    <x:t xml:space="preserve">Chỉ đưa vào nếu đo được. Bản mẫu: 10 / 5 / 0 triệu.</x:t>
  </x:si>
  <x:si>
    <x:t xml:space="preserve">Chi phí xây dựng một lần</x:t>
  </x:si>
  <x:si>
    <x:t xml:space="preserve">VND (một lần)</x:t>
  </x:si>
  <x:si>
    <x:t xml:space="preserve">Giả định minh hoạ: báo giá xây dựng</x:t>
  </x:si>
  <x:si>
    <x:t xml:space="preserve">Bản mẫu: 400 / 400 / 500 triệu.</x:t>
  </x:si>
  <x:si>
    <x:t xml:space="preserve">Chi phí thay đổi quy trình &amp; đào tạo (một lần)</x:t>
  </x:si>
  <x:si>
    <x:t xml:space="preserve">Chi phí thay đổi quy trình hay bị quên</x:t>
  </x:si>
  <x:si>
    <x:t xml:space="preserve">Khoản hay bị quên. Bản mẫu: 50 / 60 / 80 triệu.</x:t>
  </x:si>
  <x:si>
    <x:t xml:space="preserve">Chi phí vận hành / tháng (API, hạ tầng, bảo trì)</x:t>
  </x:si>
  <x:si>
    <x:t xml:space="preserve">Giả định minh hoạ: gọi AI + hạ tầng + bảo trì</x:t>
  </x:si>
  <x:si>
    <x:t xml:space="preserve">Gọi AI + hạ tầng + bảo trì. Bản mẫu: 15 / 18 / 25 triệu.</x:t>
  </x:si>
  <x:si>
    <x:t xml:space="preserve">Giả định của lớp: chi phí vốn</x:t>
  </x:si>
  <x:si>
    <x:t xml:space="preserve">Kết quả</x:t>
  </x:si>
  <x:si>
    <x:t xml:space="preserve">Giá trị tạo ra / tháng</x:t>
  </x:si>
  <x:si>
    <x:t xml:space="preserve">Lợi ích ròng / tháng</x:t>
  </x:si>
  <x:si>
    <x:t xml:space="preserve">Đầu tư một lần</x:t>
  </x:si>
  <x:si>
    <x:t xml:space="preserve">Thời gian hoàn vốn</x:t>
  </x:si>
  <x:si>
    <x:t xml:space="preserve">Hiệu quả đầu tư sau 12 tháng (ROI)</x:t>
  </x:si>
  <x:si>
    <x:t xml:space="preserve">Giá trị hiện tại ròng 24 tháng</x:t>
  </x:si>
  <x:si>
    <x:t xml:space="preserve">Đánh giá nhanh</x:t>
  </x:si>
  <x:si>
    <x:t xml:space="preserve">Hoàn vốn dưới 12 tháng: Làm · hoàn vốn được nhưng chậm: thử ở 1 phòng ban để đo tỷ lệ người dùng thật · không hoàn vốn: Dừng</x:t>
  </x:si>
  <x:si>
    <x:t xml:space="preserve">7 · Tự kiểm tra và ghi chú quyết định</x:t>
  </x:si>
  <x:si>
    <x:t xml:space="preserve">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x:t>
  </x:si>
  <x:si>
    <x:t xml:space="preserve">Điểm kiểm tra</x:t>
  </x:si>
  <x:si>
    <x:t xml:space="preserve">Kết quả (cơ sở)</x:t>
  </x:si>
  <x:si>
    <x:t xml:space="preserve">Đạt?</x:t>
  </x:si>
  <x:si>
    <x:t xml:space="preserve">Phần chìm ≥ 30% chi phí gọi AI</x:t>
  </x:si>
  <x:si>
    <x:t xml:space="preserve">Biên lợi nhuận gộp bình quân ≥ 60% (gói kết hợp)</x:t>
  </x:si>
  <x:si>
    <x:t xml:space="preserve">LTV ÷ CAC &gt; 3 (cơ sở)</x:t>
  </x:si>
  <x:si>
    <x:t xml:space="preserve">Hoàn vốn chi phí có khách &lt; 12 tháng (cơ sở)</x:t>
  </x:si>
  <x:si>
    <x:t xml:space="preserve">Kịch bản xấu: rời bỏ và chi phí có khách đủ sốc (≥ 1,5 lần)</x:t>
  </x:si>
  <x:si>
    <x:t xml:space="preserve">Kịch bản xấu: tháng hết tiền</x:t>
  </x:si>
  <x:si>
    <x:t xml:space="preserve">Giá trị hiện tại ròng 24 tháng (cơ sở)</x:t>
  </x:si>
  <x:si>
    <x:t xml:space="preserve">Biến nguy hiểm nhất (bảng độ nhạy, trang 5)</x:t>
  </x:si>
  <x:si>
    <x:t xml:space="preserve">GHI CHÚ QUYẾT ĐỊNH: 5 câu, mỗi câu 1–3 câu văn, cả phần khoảng 200 chữ. Nhóm viết vào ô vàng dưới mỗi câu hỏi.</x:t>
  </x:si>
  <x:si>
    <x:t xml:space="preserve">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x:t>
  </x:si>
  <x:si>
    <x:t xml:space="preserve">Thử nghiệm nhỏ 3 tháng với 30 cửa hàng: kịch bản cơ sở đạt LTV ÷ CAC và thời gian hoàn vốn, nhưng kịch bản xấu hết tiền ở tháng 10.</x:t>
  </x:si>
  <x:si>
    <x:t xml:space="preserve">2. Giá bán và cách tính tiền đã chọn — vì sao khách chấp nhận mức đó?</x:t>
  </x:si>
  <x:si>
    <x:t xml:space="preserve">Gói kết hợp 499 nghìn/tháng gồm 300 hội thoại, vượt thì 1.500 đ/hội thoại (≥ giá sàn 1.240 đ); neo theo lương ca trực bán thời gian 4–5 triệu/tháng.</x:t>
  </x:si>
  <x:si>
    <x:t xml:space="preserve">3. Biến số nguy hiểm nhất (theo bảng độ nhạy ở trang 5) và cách theo dõi.</x:t>
  </x:si>
  <x:si>
    <x:t xml:space="preserve">Doanh thu bình quân: giảm 20% là giá trị hiện tại ròng âm (lợi nhuận gộp giảm khoảng 27%). Doanh thu lại dễ giảm vì 62% đến từ 15% khách dùng nhiều. Theo dõi hằng tuần số cửa hàng vượt hạn mức và tỷ lệ chịu trả phí vượt.</x:t>
  </x:si>
  <x:si>
    <x:t xml:space="preserve">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x:t>
  </x:si>
  <x:si>
    <x:t xml:space="preserve">NẾU doanh thu bình quân dưới 951 nghìn/cửa hàng, TRONG 2 tháng liên tiếp và trên ít nhất 20 cửa hàng, THÌ dừng mở rộng, thiết kế lại gói giá. KHÔNG THÌ không giảm giá gói cơ bản để kéo thêm khách.</x:t>
  </x:si>
  <x:si>
    <x:t xml:space="preserve">5. Mức cảnh báo tự tính (trang 5, dòng 72–77) đã điền vào bảng theo dõi Ngày 23 thế nào? Chưa có bảng Ngày 23: chép các mức đó, ghi mức nào là "nguy", mức nào "đáng lo", và ai theo dõi hằng tuần.</x:t>
  </x:si>
  <x:si>
    <x:t xml:space="preserve">Doanh thu bình quân dưới 951 nghìn: nguy. Chi phí có một khách trên 2,64 triệu: nguy (LTV ÷ CAC dưới 6,2, không phải 3). Khách mới dưới 23/tháng: đáng lo. Chia cho đối tác tối đa 14%.</x:t>
  </x:si>
  <x:si>
    <x:t xml:space="preserve">8 · Thang điểm (100 điểm)</x:t>
  </x:si>
  <x:si>
    <x:t xml:space="preserve">Trừ điểm: số bịa không có nguồn, chỉ 1 kịch bản, nhầm doanh thu với lợi nhuận.</x:t>
  </x:si>
  <x:si>
    <x:t xml:space="preserve">Tiêu chí</x:t>
  </x:si>
  <x:si>
    <x:t xml:space="preserve">Điểm</x:t>
  </x:si>
  <x:si>
    <x:t xml:space="preserve">Bài đạt khi</x:t>
  </x:si>
  <x:si>
    <x:t xml:space="preserve">Điểm (giảng viên chấm, nhóm không điền)</x:t>
  </x:si>
  <x:si>
    <x:t xml:space="preserve">Bài tập tài chính căn bản</x:t>
  </x:si>
  <x:si>
    <x:t xml:space="preserve">Ba báo cáo đúng và khớp: bảng cân đối cân, tiền cuối kỳ khớp, trả lời đúng câu 1–3</x:t>
  </x:si>
  <x:si>
    <x:t xml:space="preserve">Chi phí mỗi việc đầy đủ</x:t>
  </x:si>
  <x:si>
    <x:t xml:space="preserve">≥ 4 nhóm chi phí; chỉ gồm chi phí phục vụ (không lẫn R&amp;D, bán hàng); có tên mô hình và ngày tra giá</x:t>
  </x:si>
  <x:si>
    <x:t xml:space="preserve">Giá sống được trong mô hình</x:t>
  </x:si>
  <x:si>
    <x:t xml:space="preserve">Giá lấy từ bài Ngày 22 và qua ba phép thử: neo lương 50–70%, tiền AI của khách dùng nhiều, biên sau chia đối tác</x:t>
  </x:si>
  <x:si>
    <x:t xml:space="preserve">Chỉ số trên mỗi khách</x:t>
  </x:si>
  <x:si>
    <x:t xml:space="preserve">Công thức đúng; LTV tính trên lợi nhuận gộp; tỷ lệ rời bỏ và chi phí có khách có nguồn hoặc lý do rõ</x:t>
  </x:si>
  <x:si>
    <x:t xml:space="preserve">3 kịch bản và độ nhạy</x:t>
  </x:si>
  <x:si>
    <x:t xml:space="preserve">Kịch bản xấu là cú sốc thật; đọc bảng độ nhạy và chỉ ra biến số nguy hiểm nhất</x:t>
  </x:si>
  <x:si>
    <x:t xml:space="preserve">Ghi chú quyết định và mức cảnh báo</x:t>
  </x:si>
  <x:si>
    <x:t xml:space="preserve">Quyết định rõ, bảo vệ bằng số; luật xử lý theo khuôn Ngày 23; mức cảnh báo tự tính đưa vào bảng Ngày 23</x:t>
  </x:si>
  <x:si>
    <x:t xml:space="preserve">TỔNG</x:t>
  </x:si>
  <x:si>
    <x:t xml:space="preserve">Điểm thưởng: dùng số thật từ buổi trước (trang 0)</x:t>
  </x:si>
  <x:si>
    <x:t xml:space="preserve">tối đa 10</x:t>
  </x:si>
  <x:si>
    <x:t xml:space="preserve">2 điểm/đầu vào đã có và thật sự được dùng; tổng điểm không quá 100</x:t>
  </x:si>
  <x:si>
    <x:t xml:space="preserve">THANG ĐIỂM TRÌNH BÀY (1–5 điểm mỗi tiêu chí)</x:t>
  </x:si>
  <x:si>
    <x:t xml:space="preserve">Mức 1</x:t>
  </x:si>
  <x:si>
    <x:t xml:space="preserve">Mức 3</x:t>
  </x:si>
  <x:si>
    <x:t xml:space="preserve">Mức 5</x:t>
  </x:si>
  <x:si>
    <x:t xml:space="preserve">Rõ ràng</x:t>
  </x:si>
  <x:si>
    <x:t xml:space="preserve">Câu đầu chưa có quyết định; người nghe phải đoán nhóm đề xuất gì</x:t>
  </x:si>
  <x:si>
    <x:t xml:space="preserve">Có quyết định nhưng nói sau phần mở đầu, hoặc thiếu giá bán</x:t>
  </x:si>
  <x:si>
    <x:t xml:space="preserve">Câu đầu tiên có quyết định, giá bán và 1 lý do</x:t>
  </x:si>
  <x:si>
    <x:t xml:space="preserve">Bằng chứng</x:t>
  </x:si>
  <x:si>
    <x:t xml:space="preserve">Con số không có nguồn, hoặc chỉ có kịch bản cơ sở</x:t>
  </x:si>
  <x:si>
    <x:t xml:space="preserve">Có số chính và nguồn, nhưng thiếu kịch bản xấu hoặc biến nguy hiểm nhất</x:t>
  </x:si>
  <x:si>
    <x:t xml:space="preserve">Đủ chi phí mỗi việc, biên lợi nhuận, LTV ÷ CAC, kịch bản xấu; số nào cũng có nguồn hoặc lý do</x:t>
  </x:si>
  <x:si>
    <x:t xml:space="preserve">Trả lời phản biện</x:t>
  </x:si>
  <x:si>
    <x:t xml:space="preserve">Né câu hỏi hoặc trả lời chung chung</x:t>
  </x:si>
  <x:si>
    <x:t xml:space="preserve">Trả lời đúng ý nhưng không dẫn số</x:t>
  </x:si>
  <x:si>
    <x:t xml:space="preserve">Trả lời thẳng, dẫn đúng con số trong file</x:t>
  </x:si>
  <x:si>
    <x:t xml:space="preserve">Đúng giờ</x:t>
  </x:si>
  <x:si>
    <x:t xml:space="preserve">Quá 4 phút</x:t>
  </x:si>
  <x:si>
    <x:t xml:space="preserve">Từ 3 đến 4 phút</x:t>
  </x:si>
  <x:si>
    <x:t xml:space="preserve">Không quá 3 phút</x:t>
  </x:si>
  <x:si>
    <x:t xml:space="preserve">Mức 2 và 4 dùng khi bài nằm giữa hai mô tả. Điểm buổi = 60% sản phẩm + 40% trình bày (60% giảng viên + 40% các nhóm khác chấm, không tự chấm nhóm mình).</x:t>
  </x:si>
  <x:si>
    <x:t xml:space="preserve">9 · Số tham khảo đã kiểm chứng (tra ngày 04/10/2026)</x:t>
  </x:si>
  <x:si>
    <x:t xml:space="preserve">Giá thay đổi thường xuyên: trước khi dùng, mở lại đường dẫn và ghi ngày tra của nhóm. Số nào không có trong bảng, nhóm tự tìm nguồn hoặc ghi lý do.</x:t>
  </x:si>
  <x:si>
    <x:t xml:space="preserve">Mô hình AI</x:t>
  </x:si>
  <x:si>
    <x:t xml:space="preserve">Đầu vào (USD / 1 triệu token)</x:t>
  </x:si>
  <x:si>
    <x:t xml:space="preserve">Đầu ra (USD / 1 triệu token)</x:t>
  </x:si>
  <x:si>
    <x:t xml:space="preserve">Nguồn chính thức</x:t>
  </x:si>
  <x:si>
    <x:t xml:space="preserve">OpenAI GPT-6 Luna</x:t>
  </x:si>
  <x:si>
    <x:t xml:space="preserve">https://developers.openai.com/api/docs/pricing</x:t>
  </x:si>
  <x:si>
    <x:t xml:space="preserve">Mức Standard, ngữ cảnh ngắn</x:t>
  </x:si>
  <x:si>
    <x:t xml:space="preserve">OpenAI GPT-6 Sol</x:t>
  </x:si>
  <x:si>
    <x:t xml:space="preserve">https://openai.com/index/introducing-gpt-6-sol-and-luna/</x:t>
  </x:si>
  <x:si>
    <x:t xml:space="preserve">Mức Standard</x:t>
  </x:si>
  <x:si>
    <x:t xml:space="preserve">Anthropic Claude Haiku 4.5</x:t>
  </x:si>
  <x:si>
    <x:t xml:space="preserve">https://platform.claude.com/docs/en/models/haiku-4-5/overview</x:t>
  </x:si>
  <x:si>
    <x:t xml:space="preserve">Anthropic Claude Sonnet 5.5</x:t>
  </x:si>
  <x:si>
    <x:t xml:space="preserve">Bảng so sánh trên cùng trang</x:t>
  </x:si>
  <x:si>
    <x:t xml:space="preserve">Số liệu Việt Nam</x:t>
  </x:si>
  <x:si>
    <x:t xml:space="preserve">Nguồn</x:t>
  </x:si>
  <x:si>
    <x:t xml:space="preserve">Tỷ giá USD bán ra Vietcombank</x:t>
  </x:si>
  <x:si>
    <x:t xml:space="preserve">https://thanhnien.vn/gia-usd-hom-nay-4102026-bien-dong-nhe-trong-tuan-khi-euro-bang-anh-tiep-tuc-giam-185261003210750485.htm</x:t>
  </x:si>
  <x:si>
    <x:t xml:space="preserve">Báo chí đưa tin sáng 04/10/2026; đối chiếu trang Vietcombank khi dùng</x:t>
  </x:si>
  <x:si>
    <x:t xml:space="preserve">Tỷ giá trung tâm Ngân hàng Nhà nước</x:t>
  </x:si>
  <x:si>
    <x:t xml:space="preserve">https://qdnd.vn/kinh-te/tin-tuc/ty-gia-usd-hom-nay-4-10-dong-usd-tang-tuan-thu-ba-lien-tiep-1059250</x:t>
  </x:si>
  <x:si>
    <x:t xml:space="preserve">Báo QĐND đưa tin ngày 04/10/2026</x:t>
  </x:si>
  <x:si>
    <x:t xml:space="preserve">Lương tối thiểu tháng, vùng I (Hà Nội, TP.HCM)</x:t>
  </x:si>
  <x:si>
    <x:t xml:space="preserve">https://xaydungchinhsach.chinhphu.vn/tu-1-1-2026-muc-luong-toi-thieu-duoc-tang-bao-nhieu-119251111091442629.htm</x:t>
  </x:si>
  <x:si>
    <x:t xml:space="preserve">Nghị định 293/2025/NĐ-CP, hiệu lực 01/01/2026</x:t>
  </x:si>
  <x:si>
    <x:t xml:space="preserve">Lương tối thiểu giờ, vùng I</x:t>
  </x:si>
  <x:si>
    <x:t xml:space="preserve">Nghị định 293/2025/NĐ-CP; là mức sàn, chưa gồm bảo hiểm</x:t>
  </x:si>
  <x:si>
    <x:t xml:space="preserve">Số KHÔNG có trong bảng</x:t>
  </x:si>
  <x:si>
    <x:t xml:space="preserve">Cách xử lý</x:t>
  </x:si>
  <x:si>
    <x:t xml:space="preserve">Tỷ lệ rời bỏ, chi phí có một khách của SME Việt Nam</x:t>
  </x:si>
  <x:si>
    <x:t xml:space="preserve">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x:t>
  </x:si>
  <x:si>
    <x:t xml:space="preserve">LTV ÷ CAC &gt; 3, hoàn vốn chi phí có khách &lt; 12 tháng</x:t>
  </x:si>
  <x:si>
    <x:t xml:space="preserve">Ngưỡng tham khảo phổ biến trong ngành phần mềm thuê bao; lớp chưa kiểm chứng nguồn sơ cấp. Dùng để đọc kết quả, không phải luật.</x:t>
  </x:si>
  <x:si>
    <x:t xml:space="preserve">Giá sàn gấp 3 lần chi phí mỗi việc; phần chìm ≥ 30% chi phí gọi AI</x:t>
  </x:si>
  <x:si>
    <x:t xml:space="preserve">Kinh nghiệm của giảng viên, không phải chuẩn ngành.</x:t>
  </x:si>
  <x:si>
    <x:t xml:space="preserve">Ngưỡng nghe ở Ngày 22–23</x:t>
  </x:si>
  <x:si>
    <x:t xml:space="preserve">Cách dùng hôm nay</x:t>
  </x:si>
  <x:si>
    <x:t xml:space="preserve">Biên lợi nhuận gộp ≥ 60%, dưới 50% là nguy (Ngày 22, slide 8)</x:t>
  </x:si>
  <x:si>
    <x:t xml:space="preserve">Diễn giả nêu, không kèm nguồn. Ngày 23 (slide 34) dẫn số thực đo của công ty AI chỉ 45–53% — chưa kiểm chứng. Dùng mức tối thiểu tự tính ở trang 5.</x:t>
  </x:si>
  <x:si>
    <x:t xml:space="preserve">Neo giá ở 50–70% lương người được thay (Ngày 22, slide 9)</x:t>
  </x:si>
  <x:si>
    <x:t xml:space="preserve">Kinh nghiệm diễn giả. Dùng làm phép thử ở trang 2, không phải luật.</x:t>
  </x:si>
  <x:si>
    <x:t xml:space="preserve">Ranh giới bán tự phục vụ dưới 50 USD, bán trực tiếp trên 1.000 USD mỗi tháng (Ngày 22, slide 17–18)</x:t>
  </x:si>
  <x:si>
    <x:t xml:space="preserve">Ngưỡng của thị trường Mỹ. Ranh giới của nhóm là chi phí có một khách tối đa tự tính ở trang 5.</x:t>
  </x:si>
  <x:si>
    <x:t xml:space="preserve">GitHub Copilot thu 10 USD, chi 80 USD, lỗ 70 USD mỗi người (Ngày 22, slide 3)</x:t>
  </x:si>
  <x:si>
    <x:t xml:space="preserve">WSJ 10/2023 đưa tin lỗ trung bình khoảng 20 USD/người/tháng; 80 USD là mức của một số người dùng nặng. Theo bản tóm tắt của AI Business, chưa đọc bài gốc WSJ.</x:t>
  </x:si>
  <x:si>
    <x:t xml:space="preserve">Nhãn nguồn [NGÀNH] · [TỰ TÍNH] · [TỰ ĐO] (Ngày 23, slide 11)</x:t>
  </x:si>
  <x:si>
    <x:t xml:space="preserve">Dùng ba nhãn này trong cột "Nguồn / lý do". Số chưa có nguồn, chưa đo: ghi "Giả định: … vì …", không gắn [NGÀNH].</x:t>
  </x:si>
</x:sst>
</file>

<file path=xl/styles.xml><?xml version="1.0" encoding="utf-8"?>
<x:styleSheet xmlns:x="http://schemas.openxmlformats.org/spreadsheetml/2006/main">
  <x:numFmts count="13">
    <x:numFmt numFmtId="164" formatCode="General"/>
    <x:numFmt numFmtId="165" formatCode="#,##0;[RED]\-#,##0"/>
    <x:numFmt numFmtId="166" formatCode="0%"/>
    <x:numFmt numFmtId="167" formatCode="#,##0.0;[RED]\-#,##0.0"/>
    <x:numFmt numFmtId="168" formatCode="#,##0.##"/>
    <x:numFmt numFmtId="169" formatCode="0.0%"/>
    <x:numFmt numFmtId="170" formatCode="#,##0"/>
    <x:numFmt numFmtId="171" formatCode="0.00"/>
    <x:numFmt numFmtId="172" formatCode="0.0&quot; tháng&quot;"/>
    <x:numFmt numFmtId="173" formatCode="0.00\x"/>
    <x:numFmt numFmtId="174" formatCode="#,##0.0"/>
    <x:numFmt numFmtId="175" formatCode="&quot;Tháng &quot;0"/>
    <x:numFmt numFmtId="176" formatCode="0"/>
  </x:numFmts>
  <x:fonts count="16">
    <x:font>
      <x:sz val="11"/>
      <x:color theme="1"/>
      <x:name val="Calibri"/>
    </x:font>
    <x:font>
      <x:sz val="10"/>
      <x:name val="Arial"/>
    </x:font>
    <x:font>
      <x:sz val="10"/>
      <x:name val="Arial"/>
    </x:font>
    <x:font>
      <x:sz val="10"/>
      <x:name val="Arial"/>
    </x:font>
    <x:font>
      <x:b/>
      <x:sz val="14"/>
      <x:name val="Cambria"/>
    </x:font>
    <x:font>
      <x:i/>
      <x:sz val="11"/>
      <x:color rgb="FF595959"/>
      <x:name val="Cambria"/>
    </x:font>
    <x:font>
      <x:b/>
      <x:sz val="11"/>
      <x:name val="Cambria"/>
    </x:font>
    <x:font>
      <x:i/>
      <x:sz val="11"/>
      <x:color rgb="FF595959"/>
      <x:name val="Calibri"/>
    </x:font>
    <x:font>
      <x:b/>
      <x:sz val="11"/>
      <x:color rgb="FFFFFFFF"/>
      <x:name val="Cambria"/>
    </x:font>
    <x:font>
      <x:i/>
      <x:sz val="10"/>
      <x:color rgb="FF595959"/>
      <x:name val="Calibri"/>
    </x:font>
    <x:font>
      <x:sz val="11"/>
      <x:name val="Calibri"/>
    </x:font>
    <x:font>
      <x:b/>
      <x:sz val="11"/>
      <x:name val="Calibri"/>
    </x:font>
    <x:font>
      <x:b/>
      <x:sz val="11"/>
      <x:color rgb="FFC00000"/>
      <x:name val="Calibri"/>
    </x:font>
    <x:font>
      <x:b/>
      <x:sz val="12"/>
      <x:name val="Cambria"/>
    </x:font>
    <x:font>
      <x:b/>
      <x:sz val="11"/>
      <x:color rgb="FFC00000"/>
      <x:name val="Cambria"/>
    </x:font>
    <x:font>
      <x:sz val="10"/>
      <x:color rgb="FF808080"/>
      <x:name val="Calibri"/>
    </x:font>
  </x:fonts>
  <x:fills count="6">
    <x:fill>
      <x:patternFill patternType="none"/>
    </x:fill>
    <x:fill>
      <x:patternFill patternType="gray125"/>
    </x:fill>
    <x:fill>
      <x:patternFill patternType="solid">
        <x:fgColor rgb="FFFFF2CC"/>
      </x:patternFill>
    </x:fill>
    <x:fill>
      <x:patternFill patternType="solid">
        <x:fgColor rgb="FFE2EFDA"/>
      </x:patternFill>
    </x:fill>
    <x:fill>
      <x:patternFill patternType="solid">
        <x:fgColor rgb="FF1F3864"/>
      </x:patternFill>
    </x:fill>
    <x:fill>
      <x:patternFill patternType="solid">
        <x:fgColor rgb="FFD9E1F2"/>
      </x:patternFill>
    </x:fill>
  </x:fills>
  <x:borders count="2">
    <x:border diagonalUp="0" diagonalDown="0"/>
    <x:border diagonalUp="0" diagonalDown="0">
      <x:left style="thin">
        <x:color rgb="FFBFBFBF"/>
      </x:left>
      <x:right style="thin">
        <x:color rgb="FFBFBFBF"/>
      </x:right>
      <x:top style="thin">
        <x:color rgb="FFBFBFBF"/>
      </x:top>
      <x:bottom style="thin">
        <x:color rgb="FFBFBFBF"/>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13">
    <x:xf numFmtId="164" fontId="0" fillId="0" borderId="0" xfId="0" applyFont="0" applyBorder="0" applyAlignment="0">
      <x:alignment horizontal="general" vertical="bottom" wrapText="0"/>
    </x:xf>
    <x:xf numFmtId="164" fontId="0" fillId="0" borderId="0" xfId="0" applyFont="0" applyBorder="0" applyAlignment="1">
      <x:alignment horizontal="general" vertical="bottom" wrapText="0"/>
    </x:xf>
    <x:xf numFmtId="164" fontId="4" fillId="0" borderId="0" xfId="0" applyFont="1" applyBorder="0" applyAlignment="1">
      <x:alignment horizontal="general" vertical="bottom" wrapText="0"/>
    </x:xf>
    <x:xf numFmtId="164" fontId="5" fillId="0" borderId="0" xfId="0" applyFont="1" applyBorder="0" applyAlignment="1">
      <x:alignment horizontal="general" vertical="top" wrapText="1"/>
    </x:xf>
    <x:xf numFmtId="164" fontId="0" fillId="0" borderId="0" xfId="0" applyFont="1" applyBorder="0" applyAlignment="1">
      <x:alignment horizontal="general" vertical="top" wrapText="1"/>
    </x:xf>
    <x:xf numFmtId="164" fontId="6" fillId="0" borderId="0" xfId="0" applyFont="1" applyBorder="0" applyAlignment="1">
      <x:alignment horizontal="general" vertical="bottom" wrapText="0"/>
    </x:xf>
    <x:xf numFmtId="164" fontId="0" fillId="2" borderId="0" xfId="0" applyFont="1" applyBorder="0" applyAlignment="1">
      <x:alignment horizontal="general" vertical="bottom" wrapText="0"/>
    </x:xf>
    <x:xf numFmtId="164" fontId="0" fillId="3" borderId="0" xfId="0" applyFont="1" applyBorder="0" applyAlignment="1">
      <x:alignment horizontal="general" vertical="bottom" wrapText="0"/>
    </x:xf>
    <x:xf numFmtId="164" fontId="7" fillId="0" borderId="0" xfId="0" applyFont="1" applyBorder="0" applyAlignment="1">
      <x:alignment horizontal="general" vertical="top" wrapText="1"/>
    </x:xf>
    <x:xf numFmtId="164" fontId="5" fillId="0" borderId="0" xfId="0" applyFont="1" applyBorder="0" applyAlignment="1">
      <x:alignment horizontal="general" vertical="bottom" wrapText="0"/>
    </x:xf>
    <x:xf numFmtId="164" fontId="8" fillId="4" borderId="0" xfId="0" applyFont="1" applyBorder="0" applyAlignment="1">
      <x:alignment horizontal="general" vertical="bottom" wrapText="1"/>
    </x:xf>
    <x:xf numFmtId="164" fontId="0" fillId="0" borderId="1" xfId="0" applyFont="1" applyBorder="1" applyAlignment="1">
      <x:alignment horizontal="general" vertical="top" wrapText="1"/>
    </x:xf>
    <x:xf numFmtId="164" fontId="0" fillId="2" borderId="1" xfId="0" applyFont="1" applyBorder="1" applyAlignment="1">
      <x:alignment horizontal="general" vertical="top" wrapText="1"/>
    </x:xf>
    <x:xf numFmtId="164" fontId="0" fillId="2" borderId="1" xfId="0" applyFont="0" applyBorder="1" applyAlignment="1">
      <x:alignment horizontal="general" vertical="top" wrapText="1"/>
    </x:xf>
    <x:xf numFmtId="164" fontId="9" fillId="0" borderId="0" xfId="0" applyFont="1" applyBorder="1" applyAlignment="1">
      <x:alignment horizontal="general" vertical="top" wrapText="1"/>
    </x:xf>
    <x:xf numFmtId="164" fontId="8" fillId="4" borderId="0" xfId="0" applyFont="1" applyBorder="0" applyAlignment="1">
      <x:alignment horizontal="general" vertical="center" wrapText="1"/>
    </x:xf>
    <x:xf numFmtId="164" fontId="10" fillId="0" borderId="1" xfId="0" applyFont="1" applyBorder="1" applyAlignment="1">
      <x:alignment horizontal="center" vertical="center" wrapText="0"/>
    </x:xf>
    <x:xf numFmtId="164" fontId="10" fillId="0" borderId="1" xfId="0" applyFont="1" applyBorder="1" applyAlignment="1">
      <x:alignment horizontal="general" vertical="center" wrapText="0"/>
    </x:xf>
    <x:xf numFmtId="165" fontId="10" fillId="0" borderId="1" xfId="0" applyFont="1" applyBorder="1" applyAlignment="1">
      <x:alignment horizontal="general" vertical="center" wrapText="0"/>
    </x:xf>
    <x:xf numFmtId="164" fontId="10" fillId="0" borderId="1" xfId="0" applyFont="1" applyBorder="1" applyAlignment="1">
      <x:alignment horizontal="general" vertical="center" wrapText="1"/>
    </x:xf>
    <x:xf numFmtId="164" fontId="10" fillId="2" borderId="1" xfId="0" applyFont="1" applyBorder="1" applyAlignment="1">
      <x:alignment horizontal="general" vertical="center" wrapText="1"/>
    </x:xf>
    <x:xf numFmtId="164" fontId="6" fillId="0" borderId="0" xfId="0" applyFont="1" applyBorder="1" applyAlignment="1">
      <x:alignment horizontal="general" vertical="top" wrapText="1"/>
    </x:xf>
    <x:xf numFmtId="164" fontId="10" fillId="0" borderId="1" xfId="0" applyFont="1" applyBorder="1" applyAlignment="1">
      <x:alignment horizontal="general" vertical="bottom" wrapText="0"/>
    </x:xf>
    <x:xf numFmtId="165" fontId="10" fillId="2" borderId="1" xfId="0" applyFont="1" applyBorder="1" applyAlignment="1">
      <x:alignment horizontal="general" vertical="bottom" wrapText="0"/>
    </x:xf>
    <x:xf numFmtId="165" fontId="10" fillId="3" borderId="1" xfId="0" applyFont="1" applyBorder="1" applyAlignment="1">
      <x:alignment horizontal="general" vertical="bottom" wrapText="0"/>
    </x:xf>
    <x:xf numFmtId="164" fontId="11" fillId="0" borderId="1" xfId="0" applyFont="1" applyBorder="1" applyAlignment="1">
      <x:alignment horizontal="general" vertical="bottom" wrapText="0"/>
    </x:xf>
    <x:xf numFmtId="165" fontId="11" fillId="3" borderId="1" xfId="0" applyFont="1" applyBorder="1" applyAlignment="1">
      <x:alignment horizontal="general" vertical="bottom" wrapText="0"/>
    </x:xf>
    <x:xf numFmtId="164" fontId="10" fillId="3" borderId="1" xfId="0" applyFont="1" applyBorder="1" applyAlignment="1">
      <x:alignment horizontal="general" vertical="bottom" wrapText="0"/>
    </x:xf>
    <x:xf numFmtId="166" fontId="10" fillId="3" borderId="1" xfId="0" applyFont="1" applyBorder="1" applyAlignment="1">
      <x:alignment horizontal="general" vertical="bottom" wrapText="0"/>
    </x:xf>
    <x:xf numFmtId="164" fontId="11" fillId="0" borderId="1" xfId="0" applyFont="1" applyBorder="1" applyAlignment="1">
      <x:alignment horizontal="general" vertical="top" wrapText="1"/>
    </x:xf>
    <x:xf numFmtId="164" fontId="11" fillId="3" borderId="1" xfId="0" applyFont="1" applyBorder="1" applyAlignment="1">
      <x:alignment horizontal="general" vertical="top" wrapText="1"/>
    </x:xf>
    <x:xf numFmtId="164" fontId="11" fillId="3" borderId="1" xfId="0" applyFont="1" applyBorder="1" applyAlignment="1">
      <x:alignment horizontal="general" vertical="bottom" wrapText="0"/>
    </x:xf>
    <x:xf numFmtId="164" fontId="10" fillId="0" borderId="1" xfId="0" applyFont="1" applyBorder="1" applyAlignment="1">
      <x:alignment horizontal="general" vertical="top" wrapText="1"/>
    </x:xf>
    <x:xf numFmtId="165" fontId="10" fillId="0" borderId="1" xfId="0" applyFont="1" applyBorder="1" applyAlignment="1">
      <x:alignment horizontal="general" vertical="bottom" wrapText="0"/>
    </x:xf>
    <x:xf numFmtId="164" fontId="10" fillId="2" borderId="1" xfId="0" applyFont="1" applyBorder="1" applyAlignment="1">
      <x:alignment horizontal="general" vertical="top" wrapText="1"/>
    </x:xf>
    <x:xf numFmtId="166" fontId="10" fillId="0" borderId="1" xfId="0" applyFont="1" applyBorder="1" applyAlignment="1">
      <x:alignment horizontal="general" vertical="bottom" wrapText="0"/>
    </x:xf>
    <x:xf numFmtId="167" fontId="10" fillId="2" borderId="1" xfId="0" applyFont="1" applyBorder="1" applyAlignment="1">
      <x:alignment horizontal="general" vertical="bottom" wrapText="0"/>
    </x:xf>
    <x:xf numFmtId="164" fontId="10" fillId="2" borderId="1" xfId="0" applyFont="1" applyBorder="1" applyAlignment="1">
      <x:alignment horizontal="general" vertical="bottom" wrapText="0"/>
    </x:xf>
    <x:xf numFmtId="164" fontId="12" fillId="0" borderId="0" xfId="0" applyFont="1" applyBorder="1" applyAlignment="1">
      <x:alignment horizontal="general" vertical="top" wrapText="1"/>
    </x:xf>
    <x:xf numFmtId="164" fontId="0" fillId="0" borderId="1" xfId="0" applyFont="1" applyBorder="1" applyAlignment="1">
      <x:alignment horizontal="general" vertical="center" wrapText="0"/>
    </x:xf>
    <x:xf numFmtId="164" fontId="0" fillId="2" borderId="0" xfId="0" applyFont="1" applyBorder="0" applyAlignment="1">
      <x:alignment horizontal="general" vertical="center" wrapText="0"/>
    </x:xf>
    <x:xf numFmtId="164" fontId="0" fillId="0" borderId="0" xfId="0" applyFont="0" applyBorder="0" applyAlignment="1">
      <x:alignment horizontal="general" vertical="center" wrapText="0"/>
    </x:xf>
    <x:xf numFmtId="164" fontId="0" fillId="2" borderId="0" xfId="0" applyFont="0" applyBorder="0" applyAlignment="1">
      <x:alignment horizontal="general" vertical="center" wrapText="1"/>
    </x:xf>
    <x:xf numFmtId="164" fontId="9" fillId="0" borderId="0" xfId="0" applyFont="1" applyBorder="0" applyAlignment="1">
      <x:alignment horizontal="general" vertical="center" wrapText="1"/>
    </x:xf>
    <x:xf numFmtId="168" fontId="0" fillId="2" borderId="1" xfId="0" applyFont="0" applyBorder="1" applyAlignment="1">
      <x:alignment horizontal="general" vertical="center" wrapText="0"/>
    </x:xf>
    <x:xf numFmtId="169" fontId="0" fillId="2" borderId="1" xfId="0" applyFont="0" applyBorder="1" applyAlignment="1">
      <x:alignment horizontal="general" vertical="center" wrapText="0"/>
    </x:xf>
    <x:xf numFmtId="164" fontId="0" fillId="0" borderId="1" xfId="0" applyFont="1" applyBorder="1" applyAlignment="1">
      <x:alignment horizontal="general" vertical="bottom" wrapText="0"/>
    </x:xf>
    <x:xf numFmtId="165" fontId="0" fillId="3" borderId="1" xfId="0" applyFont="0" applyBorder="1" applyAlignment="1">
      <x:alignment horizontal="general" vertical="bottom" wrapText="0"/>
    </x:xf>
    <x:xf numFmtId="165" fontId="6" fillId="3" borderId="1" xfId="0" applyFont="1" applyBorder="1" applyAlignment="1">
      <x:alignment horizontal="general" vertical="bottom" wrapText="0"/>
    </x:xf>
    <x:xf numFmtId="164" fontId="9" fillId="0" borderId="0" xfId="0" applyFont="1" applyBorder="0" applyAlignment="1">
      <x:alignment horizontal="general" vertical="top" wrapText="1"/>
    </x:xf>
    <x:xf numFmtId="169" fontId="0" fillId="3" borderId="1" xfId="0" applyFont="0" applyBorder="1" applyAlignment="1">
      <x:alignment horizontal="general" vertical="bottom" wrapText="0"/>
    </x:xf>
    <x:xf numFmtId="164" fontId="9" fillId="0" borderId="0" xfId="0" applyFont="1" applyBorder="0" applyAlignment="1">
      <x:alignment horizontal="general" vertical="bottom" wrapText="0"/>
    </x:xf>
    <x:xf numFmtId="164" fontId="0" fillId="2" borderId="0" xfId="0" applyFont="1" applyBorder="0" applyAlignment="1">
      <x:alignment horizontal="general" vertical="top" wrapText="1"/>
    </x:xf>
    <x:xf numFmtId="164" fontId="10" fillId="2" borderId="0" xfId="0" applyFont="1" applyBorder="0" applyAlignment="1">
      <x:alignment horizontal="general" vertical="top" wrapText="1"/>
    </x:xf>
    <x:xf numFmtId="164" fontId="10" fillId="2" borderId="0" xfId="0" applyFont="1" applyBorder="0" applyAlignment="1">
      <x:alignment horizontal="general" vertical="bottom" wrapText="0"/>
    </x:xf>
    <x:xf numFmtId="165" fontId="0" fillId="2" borderId="1" xfId="0" applyFont="0" applyBorder="1" applyAlignment="1">
      <x:alignment horizontal="general" vertical="bottom" wrapText="0"/>
    </x:xf>
    <x:xf numFmtId="164" fontId="8" fillId="4" borderId="0" xfId="0" applyFont="1" applyBorder="0" applyAlignment="1">
      <x:alignment horizontal="general" vertical="top" wrapText="1"/>
    </x:xf>
    <x:xf numFmtId="169" fontId="0" fillId="2" borderId="1" xfId="0" applyFont="0" applyBorder="1" applyAlignment="1">
      <x:alignment horizontal="general" vertical="bottom" wrapText="0"/>
    </x:xf>
    <x:xf numFmtId="170" fontId="0" fillId="2" borderId="1" xfId="0" applyFont="0" applyBorder="1" applyAlignment="1">
      <x:alignment horizontal="general" vertical="bottom" wrapText="0"/>
    </x:xf>
    <x:xf numFmtId="170" fontId="0" fillId="3" borderId="1" xfId="0" applyFont="0" applyBorder="1" applyAlignment="1">
      <x:alignment horizontal="general" vertical="bottom" wrapText="0"/>
    </x:xf>
    <x:xf numFmtId="169" fontId="6" fillId="3" borderId="1" xfId="0" applyFont="1" applyBorder="1" applyAlignment="1">
      <x:alignment horizontal="general" vertical="bottom" wrapText="0"/>
    </x:xf>
    <x:xf numFmtId="164" fontId="0" fillId="3" borderId="1" xfId="0" applyFont="0" applyBorder="1" applyAlignment="1">
      <x:alignment horizontal="general" vertical="bottom" wrapText="0"/>
    </x:xf>
    <x:xf numFmtId="166" fontId="10" fillId="2" borderId="1" xfId="0" applyFont="1" applyBorder="1" applyAlignment="1">
      <x:alignment horizontal="general" vertical="bottom" wrapText="0"/>
    </x:xf>
    <x:xf numFmtId="164" fontId="10" fillId="3" borderId="1" xfId="0" applyFont="1" applyBorder="1" applyAlignment="1">
      <x:alignment horizontal="general" vertical="top" wrapText="1"/>
    </x:xf>
    <x:xf numFmtId="171" fontId="10" fillId="3" borderId="1" xfId="0" applyFont="1" applyBorder="1" applyAlignment="1">
      <x:alignment horizontal="general" vertical="bottom" wrapText="0"/>
    </x:xf>
    <x:xf numFmtId="169" fontId="11" fillId="3" borderId="1" xfId="0" applyFont="1" applyBorder="1" applyAlignment="1">
      <x:alignment horizontal="general" vertical="bottom" wrapText="0"/>
    </x:xf>
    <x:xf numFmtId="164" fontId="0" fillId="0" borderId="1" xfId="0" applyFont="1" applyBorder="1" applyAlignment="1">
      <x:alignment horizontal="general" vertical="center" wrapText="1"/>
    </x:xf>
    <x:xf numFmtId="171" fontId="0" fillId="2" borderId="1" xfId="0" applyFont="0" applyBorder="1" applyAlignment="1">
      <x:alignment horizontal="general" vertical="center" wrapText="0"/>
    </x:xf>
    <x:xf numFmtId="164" fontId="10" fillId="2" borderId="0" xfId="0" applyFont="1" applyBorder="0" applyAlignment="1">
      <x:alignment horizontal="general" vertical="center" wrapText="1"/>
    </x:xf>
    <x:xf numFmtId="170" fontId="0" fillId="2" borderId="1" xfId="0" applyFont="0" applyBorder="1" applyAlignment="1">
      <x:alignment horizontal="general" vertical="center" wrapText="0"/>
    </x:xf>
    <x:xf numFmtId="165" fontId="0" fillId="2" borderId="1" xfId="0" applyFont="0" applyBorder="1" applyAlignment="1">
      <x:alignment horizontal="general" vertical="center" wrapText="0"/>
    </x:xf>
    <x:xf numFmtId="164" fontId="10" fillId="2" borderId="0" xfId="0" applyFont="1" applyBorder="0" applyAlignment="1">
      <x:alignment horizontal="general" vertical="center" wrapText="0"/>
    </x:xf>
    <x:xf numFmtId="172" fontId="0" fillId="3" borderId="1" xfId="0" applyFont="0" applyBorder="1" applyAlignment="1">
      <x:alignment horizontal="general" vertical="bottom" wrapText="0"/>
    </x:xf>
    <x:xf numFmtId="173" fontId="6" fillId="3" borderId="1" xfId="0" applyFont="1" applyBorder="1" applyAlignment="1">
      <x:alignment horizontal="general" vertical="bottom" wrapText="0"/>
    </x:xf>
    <x:xf numFmtId="164" fontId="6" fillId="3" borderId="1" xfId="0" applyFont="1" applyBorder="1" applyAlignment="1">
      <x:alignment horizontal="general" vertical="bottom" wrapText="0"/>
    </x:xf>
    <x:xf numFmtId="164" fontId="6" fillId="5" borderId="0" xfId="0" applyFont="1" applyBorder="0" applyAlignment="1">
      <x:alignment horizontal="general" vertical="bottom" wrapText="0"/>
    </x:xf>
    <x:xf numFmtId="174" fontId="0" fillId="0" borderId="0" xfId="0" applyFont="0" applyBorder="0" applyAlignment="1">
      <x:alignment horizontal="general" vertical="bottom" wrapText="0"/>
    </x:xf>
    <x:xf numFmtId="165" fontId="0" fillId="0" borderId="0" xfId="0" applyFont="0" applyBorder="0" applyAlignment="1">
      <x:alignment horizontal="general" vertical="bottom" wrapText="0"/>
    </x:xf>
    <x:xf numFmtId="164" fontId="13" fillId="0" borderId="0" xfId="0" applyFont="1" applyBorder="0" applyAlignment="1">
      <x:alignment horizontal="general" vertical="bottom" wrapText="0"/>
    </x:xf>
    <x:xf numFmtId="175" fontId="0" fillId="3" borderId="1" xfId="0" applyFont="0" applyBorder="1" applyAlignment="1">
      <x:alignment horizontal="general" vertical="bottom" wrapText="0"/>
    </x:xf>
    <x:xf numFmtId="164" fontId="10" fillId="0" borderId="0" xfId="0" applyFont="1" applyBorder="0" applyAlignment="1">
      <x:alignment horizontal="general" vertical="bottom" wrapText="0"/>
    </x:xf>
    <x:xf numFmtId="166" fontId="10" fillId="2" borderId="0" xfId="0" applyFont="1" applyBorder="0" applyAlignment="1">
      <x:alignment horizontal="general" vertical="bottom" wrapText="0"/>
    </x:xf>
    <x:xf numFmtId="164" fontId="8" fillId="4" borderId="0" xfId="0" applyFont="1" applyBorder="0" applyAlignment="1">
      <x:alignment horizontal="left" vertical="center" wrapText="1"/>
    </x:xf>
    <x:xf numFmtId="164" fontId="8" fillId="4" borderId="0" xfId="0" applyFont="1" applyBorder="0" applyAlignment="1">
      <x:alignment horizontal="center" vertical="center" wrapText="1"/>
    </x:xf>
    <x:xf numFmtId="164" fontId="10" fillId="0" borderId="0" xfId="0" applyFont="1" applyBorder="0" applyAlignment="1">
      <x:alignment horizontal="center" vertical="bottom" wrapText="0"/>
    </x:xf>
    <x:xf numFmtId="165" fontId="10" fillId="3" borderId="0" xfId="0" applyFont="1" applyBorder="0" applyAlignment="1">
      <x:alignment horizontal="general" vertical="bottom" wrapText="0"/>
    </x:xf>
    <x:xf numFmtId="175" fontId="10" fillId="3" borderId="0" xfId="0" applyFont="1" applyBorder="0" applyAlignment="1">
      <x:alignment horizontal="general" vertical="center" wrapText="1"/>
    </x:xf>
    <x:xf numFmtId="176" fontId="10" fillId="3" borderId="0" xfId="0" applyFont="1" applyBorder="0" applyAlignment="1">
      <x:alignment horizontal="center" vertical="bottom" wrapText="0"/>
    </x:xf>
    <x:xf numFmtId="169" fontId="10" fillId="3" borderId="0" xfId="0" applyFont="1" applyBorder="0" applyAlignment="1">
      <x:alignment horizontal="general" vertical="bottom" wrapText="0"/>
    </x:xf>
    <x:xf numFmtId="174" fontId="10" fillId="3" borderId="0" xfId="0" applyFont="1" applyBorder="0" applyAlignment="1">
      <x:alignment horizontal="general" vertical="bottom" wrapText="0"/>
    </x:xf>
    <x:xf numFmtId="164" fontId="14" fillId="3" borderId="0" xfId="0" applyFont="1" applyBorder="0" applyAlignment="1">
      <x:alignment horizontal="general" vertical="bottom" wrapText="0"/>
    </x:xf>
    <x:xf numFmtId="164" fontId="6" fillId="0" borderId="0" xfId="0" applyFont="1" applyBorder="0" applyAlignment="1">
      <x:alignment horizontal="general" vertical="center" wrapText="1"/>
    </x:xf>
    <x:xf numFmtId="164" fontId="8" fillId="4" borderId="0" xfId="0" applyFont="1" applyBorder="1" applyAlignment="1">
      <x:alignment horizontal="general" vertical="center" wrapText="1"/>
    </x:xf>
    <x:xf numFmtId="169" fontId="10" fillId="3" borderId="1" xfId="0" applyFont="1" applyBorder="1" applyAlignment="1">
      <x:alignment horizontal="general" vertical="bottom" wrapText="0"/>
    </x:xf>
    <x:xf numFmtId="167" fontId="10" fillId="3" borderId="1" xfId="0" applyFont="1" applyBorder="1" applyAlignment="1">
      <x:alignment horizontal="general" vertical="bottom" wrapText="0"/>
    </x:xf>
    <x:xf numFmtId="167" fontId="11" fillId="3" borderId="1" xfId="0" applyFont="1" applyBorder="1" applyAlignment="1">
      <x:alignment horizontal="general" vertical="bottom" wrapText="0"/>
    </x:xf>
    <x:xf numFmtId="164" fontId="15" fillId="0" borderId="0" xfId="0" applyFont="1" applyBorder="0" applyAlignment="1">
      <x:alignment horizontal="general" vertical="bottom" wrapText="0"/>
    </x:xf>
    <x:xf numFmtId="165" fontId="15" fillId="0" borderId="0" xfId="0" applyFont="1" applyBorder="0" applyAlignment="1">
      <x:alignment horizontal="general" vertical="bottom" wrapText="0"/>
    </x:xf>
    <x:xf numFmtId="174" fontId="15" fillId="0" borderId="0" xfId="0" applyFont="1" applyBorder="0" applyAlignment="1">
      <x:alignment horizontal="general" vertical="bottom" wrapText="0"/>
    </x:xf>
    <x:xf numFmtId="169" fontId="15" fillId="0" borderId="0" xfId="0" applyFont="1" applyBorder="0" applyAlignment="1">
      <x:alignment horizontal="general" vertical="bottom" wrapText="0"/>
    </x:xf>
    <x:xf numFmtId="164" fontId="12" fillId="0" borderId="0" xfId="0" applyFont="1" applyBorder="0" applyAlignment="1">
      <x:alignment horizontal="general" vertical="bottom" wrapText="0"/>
    </x:xf>
    <x:xf numFmtId="174" fontId="0" fillId="2" borderId="1" xfId="0" applyFont="0" applyBorder="1" applyAlignment="1">
      <x:alignment horizontal="general" vertical="center" wrapText="0"/>
    </x:xf>
    <x:xf numFmtId="172" fontId="6" fillId="3" borderId="1" xfId="0" applyFont="1" applyBorder="1" applyAlignment="1">
      <x:alignment horizontal="general" vertical="bottom" wrapText="0"/>
    </x:xf>
    <x:xf numFmtId="164" fontId="5" fillId="0" borderId="0" xfId="0" applyFont="1" applyBorder="1" applyAlignment="1">
      <x:alignment horizontal="general" vertical="top" wrapText="1"/>
    </x:xf>
    <x:xf numFmtId="173" fontId="0" fillId="3" borderId="1" xfId="0" applyFont="0" applyBorder="1" applyAlignment="1">
      <x:alignment horizontal="general" vertical="bottom" wrapText="0"/>
    </x:xf>
    <x:xf numFmtId="164" fontId="13" fillId="0" borderId="0" xfId="0" applyFont="1" applyBorder="1" applyAlignment="1">
      <x:alignment horizontal="general" vertical="top" wrapText="1"/>
    </x:xf>
    <x:xf numFmtId="164" fontId="0" fillId="2" borderId="0" xfId="0" applyFont="1" applyBorder="1" applyAlignment="1">
      <x:alignment horizontal="general" vertical="bottom" wrapText="1"/>
    </x:xf>
    <x:xf numFmtId="164" fontId="0" fillId="2" borderId="0" xfId="0" applyFont="0" applyBorder="0" applyAlignment="1">
      <x:alignment horizontal="general" vertical="bottom" wrapText="0"/>
    </x:xf>
    <x:xf numFmtId="164" fontId="6" fillId="0" borderId="0" xfId="0" applyFont="1" applyBorder="0" applyAlignment="1">
      <x:alignment horizontal="general" vertical="top" wrapText="1"/>
    </x:xf>
    <x:xf numFmtId="164" fontId="10" fillId="0" borderId="0" xfId="0" applyFont="1" applyBorder="0" applyAlignment="1">
      <x:alignment horizontal="general" vertical="top" wrapText="1"/>
    </x:xf>
    <x:xf numFmtId="171" fontId="10" fillId="0" borderId="0" xfId="0" applyFont="1" applyBorder="0" applyAlignment="1">
      <x:alignment horizontal="general" vertical="bottom" wrapText="0"/>
    </x:xf>
    <x:xf numFmtId="170" fontId="10" fillId="0" borderId="0" xfId="0" applyFont="1" applyBorder="0" applyAlignment="1">
      <x:alignment horizontal="general" vertical="bottom" wrapText="0"/>
    </x:xf>
    <x:xf numFmtId="164" fontId="10" fillId="0" borderId="0" xfId="0" applyFont="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dxfs count="1">
    <x:dxf>
      <x:font>
        <x:b/>
        <x:color rgb="FFC00000"/>
      </x:font>
      <x:fill>
        <x:patternFill>
          <x:bgColor rgb="FFF8CBAD"/>
        </x:patternFill>
      </x:fill>
    </x:dxf>
  </x:dxf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066CC"/>
      <x:rgbColor rgb="FFD9E1F2"/>
      <x:rgbColor rgb="FF000080"/>
      <x:rgbColor rgb="FFFF00FF"/>
      <x:rgbColor rgb="FFFFFF00"/>
      <x:rgbColor rgb="FF00FFFF"/>
      <x:rgbColor rgb="FF800080"/>
      <x:rgbColor rgb="FF800000"/>
      <x:rgbColor rgb="FF008080"/>
      <x:rgbColor rgb="FF0000FF"/>
      <x:rgbColor rgb="FF00CCFF"/>
      <x:rgbColor rgb="FFCCFFFF"/>
      <x:rgbColor rgb="FFE2EFDA"/>
      <x:rgbColor rgb="FFFFFF99"/>
      <x:rgbColor rgb="FF99CCFF"/>
      <x:rgbColor rgb="FFFF99CC"/>
      <x:rgbColor rgb="FFCC99FF"/>
      <x:rgbColor rgb="FFF8CBAD"/>
      <x:rgbColor rgb="FF3366FF"/>
      <x:rgbColor rgb="FF33CCCC"/>
      <x:rgbColor rgb="FF99CC00"/>
      <x:rgbColor rgb="FFFFCC00"/>
      <x:rgbColor rgb="FFFF9900"/>
      <x:rgbColor rgb="FFFF6600"/>
      <x:rgbColor rgb="FF59595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8e72559976d4ba2" /><Relationship Type="http://schemas.openxmlformats.org/officeDocument/2006/relationships/theme" Target="/xl/theme/theme1.xml" Id="Rd7d9c4b2051a4f5a" /><Relationship Type="http://schemas.openxmlformats.org/officeDocument/2006/relationships/sharedStrings" Target="/xl/sharedStrings.xml" Id="R2b2be0e0dfe04492" /><Relationship Type="http://schemas.openxmlformats.org/officeDocument/2006/relationships/worksheet" Target="/xl/worksheets/sheet1.xml" Id="Rfd08f4b560b846b0" /><Relationship Type="http://schemas.openxmlformats.org/officeDocument/2006/relationships/worksheet" Target="/xl/worksheets/sheet2.xml" Id="Rc88a9a472c2645e8" /><Relationship Type="http://schemas.openxmlformats.org/officeDocument/2006/relationships/worksheet" Target="/xl/worksheets/sheet3.xml" Id="Re93f1de408b240e1" /><Relationship Type="http://schemas.openxmlformats.org/officeDocument/2006/relationships/worksheet" Target="/xl/worksheets/sheet4.xml" Id="Rffbe44ff67d64009" /><Relationship Type="http://schemas.openxmlformats.org/officeDocument/2006/relationships/worksheet" Target="/xl/worksheets/sheet5.xml" Id="R5231ab8a579c4326" /><Relationship Type="http://schemas.openxmlformats.org/officeDocument/2006/relationships/worksheet" Target="/xl/worksheets/sheet6.xml" Id="R16f253492451495f" /><Relationship Type="http://schemas.openxmlformats.org/officeDocument/2006/relationships/worksheet" Target="/xl/worksheets/sheet7.xml" Id="Rd9c0681611d94d38" /><Relationship Type="http://schemas.openxmlformats.org/officeDocument/2006/relationships/worksheet" Target="/xl/worksheets/sheet8.xml" Id="Rb7d678b0cea14a16" /><Relationship Type="http://schemas.openxmlformats.org/officeDocument/2006/relationships/worksheet" Target="/xl/worksheets/sheet9.xml" Id="R145b5bad930846ab" /><Relationship Type="http://schemas.openxmlformats.org/officeDocument/2006/relationships/worksheet" Target="/xl/worksheets/sheet10.xml" Id="R31ce2d60649e431a" /><Relationship Type="http://schemas.openxmlformats.org/officeDocument/2006/relationships/worksheet" Target="/xl/worksheets/sheet11.xml" Id="Rafeb4c1579d74c9d" /><Relationship Type="http://schemas.openxmlformats.org/officeDocument/2006/relationships/worksheet" Target="/xl/worksheets/sheet12.xml" Id="R8bd9a487baa74e0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130" style="1" hidden="0" customWidth="1"/>
  </x:cols>
  <x:sheetData>
    <x:row r="1" ht="17.25" hidden="0" customHeight="1">
      <x:c r="A1" s="2" t="s">
        <x:v>0</x:v>
      </x:c>
    </x:row>
    <x:row r="2" ht="16.5" hidden="0" customHeight="1">
      <x:c r="A2" s="3" t="s">
        <x:v>1</x:v>
      </x:c>
    </x:row>
    <x:row r="3" ht="31.5" hidden="0" customHeight="1">
      <x:c r="A3" s="4" t="s">
        <x:v>2</x:v>
      </x:c>
    </x:row>
    <x:row r="4" ht="31.5" hidden="0" customHeight="1">
      <x:c r="A4" s="4" t="s">
        <x:v>3</x:v>
      </x:c>
    </x:row>
    <x:row r="5" ht="46.5" hidden="0" customHeight="1">
      <x:c r="A5" s="4" t="s">
        <x:v>4</x:v>
      </x:c>
    </x:row>
    <x:row r="6" ht="46.5" hidden="0" customHeight="1">
      <x:c r="A6" s="4" t="s">
        <x:v>5</x:v>
      </x:c>
    </x:row>
    <x:row r="7" ht="31.5" hidden="0" customHeight="1">
      <x:c r="A7" s="4" t="s">
        <x:v>6</x:v>
      </x:c>
    </x:row>
    <x:row r="8" ht="16.5" hidden="0" customHeight="1">
      <x:c r="A8" s="4" t="s">
        <x:v>7</x:v>
      </x:c>
    </x:row>
    <x:row r="9" ht="46.5" hidden="0" customHeight="1">
      <x:c r="A9" s="4" t="s">
        <x:v>8</x:v>
      </x:c>
    </x:row>
    <x:row r="10" ht="16.5" hidden="0" customHeight="1">
      <x:c r="A10" s="4" t="s">
        <x:v>9</x:v>
      </x:c>
    </x:row>
    <x:row r="11" ht="31.5" hidden="0" customHeight="1">
      <x:c r="A11" s="4" t="s">
        <x:v>10</x:v>
      </x:c>
    </x:row>
    <x:row r="12" ht="31.5" hidden="0" customHeight="1">
      <x:c r="A12" s="4" t="s">
        <x:v>11</x:v>
      </x:c>
    </x:row>
    <x:row r="13" ht="31.5" hidden="0" customHeight="1">
      <x:c r="A13" s="4" t="s">
        <x:v>12</x:v>
      </x:c>
    </x:row>
    <x:row r="14" ht="16.5" hidden="0" customHeight="1">
      <x:c r="A14" s="4" t="s">
        <x:v>13</x:v>
      </x:c>
    </x:row>
    <x:row r="15" ht="15" hidden="0" customHeight="1">
      <x:c r="A15" s="5" t="s">
        <x:v>14</x:v>
      </x:c>
    </x:row>
    <x:row r="16" ht="15" hidden="0" customHeight="1">
      <x:c r="A16" s="6" t="s">
        <x:v>15</x:v>
      </x:c>
    </x:row>
    <x:row r="17" ht="15" hidden="0" customHeight="1">
      <x:c r="A17" s="7" t="s">
        <x:v>16</x:v>
      </x:c>
    </x:row>
    <x:row r="18" ht="15" hidden="0" customHeight="1">
      <x:c r="A18" s="8" t="s">
        <x:v>17</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52" style="1" hidden="0" customWidth="1"/>
    <x:col min="2" max="2" width="14" style="1" hidden="0" customWidth="1"/>
    <x:col min="3" max="4" width="46" style="1" hidden="0" customWidth="1"/>
    <x:col min="5" max="5" width="36" style="1" hidden="0" customWidth="1"/>
  </x:cols>
  <x:sheetData>
    <x:row r="1" ht="17.25" hidden="0" customHeight="1">
      <x:c r="A1" s="2" t="s">
        <x:v>18</x:v>
      </x:c>
    </x:row>
    <x:row r="2" ht="15" hidden="0" customHeight="1">
      <x:c r="A2" s="9" t="s">
        <x:v>19</x:v>
      </x:c>
    </x:row>
    <x:row r="4" ht="26.25" hidden="0" customHeight="1">
      <x:c r="A4" s="10" t="s">
        <x:v>20</x:v>
      </x:c>
      <x:c r="B4" s="10" t="s">
        <x:v>21</x:v>
      </x:c>
      <x:c r="C4" s="10" t="s">
        <x:v>22</x:v>
      </x:c>
      <x:c r="D4" s="10" t="s">
        <x:v>23</x:v>
      </x:c>
      <x:c r="E4" s="10" t="s">
        <x:v>24</x:v>
      </x:c>
    </x:row>
    <x:row r="5" ht="33.75" hidden="0" customHeight="1">
      <x:c r="A5" s="11" t="s">
        <x:v>25</x:v>
      </x:c>
      <x:c r="B5" s="12" t="s">
        <x:v>26</x:v>
      </x:c>
      <x:c r="C5" s="11" t="s">
        <x:v>27</x:v>
      </x:c>
      <x:c r="D5" s="11" t="s">
        <x:v>28</x:v>
      </x:c>
      <x:c r="E5" s="13"/>
    </x:row>
    <x:row r="6" ht="33.75" hidden="0" customHeight="1">
      <x:c r="A6" s="11" t="s">
        <x:v>29</x:v>
      </x:c>
      <x:c r="B6" s="12" t="s">
        <x:v>30</x:v>
      </x:c>
      <x:c r="C6" s="11" t="s">
        <x:v>31</x:v>
      </x:c>
      <x:c r="D6" s="11" t="s">
        <x:v>32</x:v>
      </x:c>
      <x:c r="E6" s="13"/>
    </x:row>
    <x:row r="7" ht="33.75" hidden="0" customHeight="1">
      <x:c r="A7" s="11" t="s">
        <x:v>33</x:v>
      </x:c>
      <x:c r="B7" s="12" t="s">
        <x:v>26</x:v>
      </x:c>
      <x:c r="C7" s="11" t="s">
        <x:v>34</x:v>
      </x:c>
      <x:c r="D7" s="11" t="s">
        <x:v>35</x:v>
      </x:c>
      <x:c r="E7" s="13"/>
    </x:row>
    <x:row r="8" ht="33.75" hidden="0" customHeight="1">
      <x:c r="A8" s="11" t="s">
        <x:v>36</x:v>
      </x:c>
      <x:c r="B8" s="12" t="s">
        <x:v>26</x:v>
      </x:c>
      <x:c r="C8" s="11" t="s">
        <x:v>37</x:v>
      </x:c>
      <x:c r="D8" s="11" t="s">
        <x:v>38</x:v>
      </x:c>
      <x:c r="E8" s="13"/>
    </x:row>
    <x:row r="9" ht="33.75" hidden="0" customHeight="1">
      <x:c r="A9" s="11" t="s">
        <x:v>39</x:v>
      </x:c>
      <x:c r="B9" s="12" t="s">
        <x:v>26</x:v>
      </x:c>
      <x:c r="C9" s="11" t="s">
        <x:v>40</x:v>
      </x:c>
      <x:c r="D9" s="11" t="s">
        <x:v>41</x:v>
      </x:c>
      <x:c r="E9" s="13"/>
    </x:row>
    <x:row r="10" ht="61.5" hidden="0" customHeight="1">
      <x:c r="A10" s="11" t="s">
        <x:v>42</x:v>
      </x:c>
      <x:c r="B10" s="12" t="s">
        <x:v>26</x:v>
      </x:c>
      <x:c r="C10" s="11" t="s">
        <x:v>43</x:v>
      </x:c>
      <x:c r="D10" s="11" t="s">
        <x:v>44</x:v>
      </x:c>
      <x:c r="E10" s="13"/>
    </x:row>
    <x:row r="12" ht="15" hidden="0" customHeight="1">
      <x:c r="A12" s="5" t="s">
        <x:v>45</x:v>
      </x:c>
      <x:c r="B12" s="7" t="n">
        <x:f aca="0">COUNTIF(B5:B10,"Có")</x:f>
        <x:v>5</x:v>
      </x:c>
    </x:row>
    <x:row r="13" ht="15" hidden="0" customHeight="1">
      <x:c r="A13" s="9" t="s">
        <x:v>46</x:v>
      </x:c>
    </x:row>
  </x:sheetData>
  <x:dataValidations count="1">
    <x:dataValidation type="list" errorStyle="stop" operator="between" allowBlank="1" showDropDown="0" showInputMessage="0" showErrorMessage="0" sqref="B5:B10">
      <x:formula1>"Có,Chưa"</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pane ySplit="6" topLeftCell="A7" activePane="bottomLeft" state="frozen"/>
    </x:sheetView>
  </x:sheetViews>
  <x:sheetFormatPr defaultColWidth="8.6796875" defaultRowHeight="15"/>
  <x:cols>
    <x:col min="1" max="1" width="6" style="1" hidden="0" customWidth="1"/>
    <x:col min="2" max="2" width="60" style="1" hidden="0" customWidth="1"/>
    <x:col min="3" max="5" width="14" style="1" hidden="0" customWidth="1"/>
    <x:col min="6" max="6" width="30" style="1" hidden="0" customWidth="1"/>
    <x:col min="7" max="7" width="34" style="1" hidden="0" customWidth="1"/>
  </x:cols>
  <x:sheetData>
    <x:row r="1" ht="17.25" hidden="0" customHeight="1">
      <x:c r="A1" s="2" t="s">
        <x:v>47</x:v>
      </x:c>
    </x:row>
    <x:row r="2" ht="15" hidden="0" customHeight="1">
      <x:c r="A2" s="9" t="s">
        <x:v>48</x:v>
      </x:c>
    </x:row>
    <x:row r="3" ht="31.5" hidden="0" customHeight="1">
      <x:c r="A3" s="14" t="s">
        <x:v>49</x:v>
      </x:c>
      <x:c r="B3" s="14"/>
      <x:c r="C3" s="14"/>
      <x:c r="D3" s="14"/>
      <x:c r="E3" s="14"/>
      <x:c r="F3" s="14"/>
      <x:c r="G3" s="14"/>
    </x:row>
    <x:row r="5" ht="15" hidden="0" customHeight="1">
      <x:c r="A5" s="5" t="s">
        <x:v>50</x:v>
      </x:c>
    </x:row>
    <x:row r="6" ht="31.5" hidden="0" customHeight="1">
      <x:c r="A6" s="15" t="s">
        <x:v>51</x:v>
      </x:c>
      <x:c r="B6" s="15" t="s">
        <x:v>52</x:v>
      </x:c>
      <x:c r="C6" s="15" t="s">
        <x:v>53</x:v>
      </x:c>
      <x:c r="D6" s="15" t="s">
        <x:v>54</x:v>
      </x:c>
      <x:c r="E6" s="15" t="s">
        <x:v>55</x:v>
      </x:c>
      <x:c r="F6" s="15" t="s">
        <x:v>56</x:v>
      </x:c>
      <x:c r="G6" s="15" t="s">
        <x:v>57</x:v>
      </x:c>
    </x:row>
    <x:row r="7" ht="30" hidden="0" customHeight="1">
      <x:c r="A7" s="16" t="n">
        <x:v>1</x:v>
      </x:c>
      <x:c r="B7" s="17" t="s">
        <x:v>58</x:v>
      </x:c>
      <x:c r="C7" s="18" t="n">
        <x:v>1000</x:v>
      </x:c>
      <x:c r="D7" s="18"/>
      <x:c r="E7" s="18"/>
      <x:c r="F7" s="19"/>
      <x:c r="G7" s="20" t="s">
        <x:v>59</x:v>
      </x:c>
    </x:row>
    <x:row r="8" ht="30" hidden="0" customHeight="1">
      <x:c r="A8" s="16" t="n">
        <x:v>2</x:v>
      </x:c>
      <x:c r="B8" s="17" t="s">
        <x:v>60</x:v>
      </x:c>
      <x:c r="C8" s="18" t="n">
        <x:v>300</x:v>
      </x:c>
      <x:c r="D8" s="18"/>
      <x:c r="E8" s="18"/>
      <x:c r="F8" s="19" t="s">
        <x:v>61</x:v>
      </x:c>
      <x:c r="G8" s="20" t="s">
        <x:v>62</x:v>
      </x:c>
    </x:row>
    <x:row r="9" ht="30" hidden="0" customHeight="1">
      <x:c r="A9" s="16" t="n">
        <x:v>3</x:v>
      </x:c>
      <x:c r="B9" s="17" t="s">
        <x:v>63</x:v>
      </x:c>
      <x:c r="C9" s="18" t="n">
        <x:v>360</x:v>
      </x:c>
      <x:c r="D9" s="18"/>
      <x:c r="E9" s="18"/>
      <x:c r="F9" s="19" t="s">
        <x:v>64</x:v>
      </x:c>
      <x:c r="G9" s="20" t="s">
        <x:v>65</x:v>
      </x:c>
    </x:row>
    <x:row r="10" ht="30" hidden="0" customHeight="1">
      <x:c r="A10" s="16" t="n">
        <x:v>4</x:v>
      </x:c>
      <x:c r="B10" s="17" t="s">
        <x:v>66</x:v>
      </x:c>
      <x:c r="C10" s="18" t="n">
        <x:v>50</x:v>
      </x:c>
      <x:c r="D10" s="18" t="n">
        <x:v>80</x:v>
      </x:c>
      <x:c r="E10" s="18" t="n">
        <x:v>110</x:v>
      </x:c>
      <x:c r="F10" s="19"/>
      <x:c r="G10" s="20" t="s">
        <x:v>67</x:v>
      </x:c>
    </x:row>
    <x:row r="11" ht="30" hidden="0" customHeight="1">
      <x:c r="A11" s="16" t="n">
        <x:v>5</x:v>
      </x:c>
      <x:c r="B11" s="17" t="s">
        <x:v>68</x:v>
      </x:c>
      <x:c r="C11" s="18" t="n">
        <x:v>240</x:v>
      </x:c>
      <x:c r="D11" s="18"/>
      <x:c r="E11" s="18"/>
      <x:c r="F11" s="19" t="s">
        <x:v>69</x:v>
      </x:c>
      <x:c r="G11" s="20" t="s">
        <x:v>70</x:v>
      </x:c>
    </x:row>
    <x:row r="12" ht="30" hidden="0" customHeight="1">
      <x:c r="A12" s="16" t="n">
        <x:v>6</x:v>
      </x:c>
      <x:c r="B12" s="17" t="s">
        <x:v>71</x:v>
      </x:c>
      <x:c r="C12" s="18"/>
      <x:c r="D12" s="18" t="n">
        <x:v>90</x:v>
      </x:c>
      <x:c r="E12" s="18"/>
      <x:c r="F12" s="19" t="s">
        <x:v>72</x:v>
      </x:c>
      <x:c r="G12" s="20" t="s">
        <x:v>73</x:v>
      </x:c>
    </x:row>
    <x:row r="13" ht="30" hidden="0" customHeight="1">
      <x:c r="A13" s="16" t="n">
        <x:v>7</x:v>
      </x:c>
      <x:c r="B13" s="17" t="s">
        <x:v>74</x:v>
      </x:c>
      <x:c r="C13" s="18" t="n">
        <x:v>15</x:v>
      </x:c>
      <x:c r="D13" s="18" t="n">
        <x:v>25</x:v>
      </x:c>
      <x:c r="E13" s="18" t="n">
        <x:v>35</x:v>
      </x:c>
      <x:c r="F13" s="19" t="s">
        <x:v>75</x:v>
      </x:c>
      <x:c r="G13" s="20" t="s">
        <x:v>76</x:v>
      </x:c>
    </x:row>
    <x:row r="14" ht="30" hidden="0" customHeight="1">
      <x:c r="A14" s="16" t="n">
        <x:v>8</x:v>
      </x:c>
      <x:c r="B14" s="17" t="s">
        <x:v>77</x:v>
      </x:c>
      <x:c r="C14" s="18" t="n">
        <x:v>10</x:v>
      </x:c>
      <x:c r="D14" s="18" t="n">
        <x:v>10</x:v>
      </x:c>
      <x:c r="E14" s="18" t="n">
        <x:v>10</x:v>
      </x:c>
      <x:c r="F14" s="19"/>
      <x:c r="G14" s="20" t="s">
        <x:v>78</x:v>
      </x:c>
    </x:row>
    <x:row r="15" ht="30" hidden="0" customHeight="1">
      <x:c r="A15" s="16" t="n">
        <x:v>9</x:v>
      </x:c>
      <x:c r="B15" s="17" t="s">
        <x:v>79</x:v>
      </x:c>
      <x:c r="C15" s="18" t="n">
        <x:v>120</x:v>
      </x:c>
      <x:c r="D15" s="18" t="n">
        <x:v>120</x:v>
      </x:c>
      <x:c r="E15" s="18" t="n">
        <x:v>120</x:v>
      </x:c>
      <x:c r="F15" s="19"/>
      <x:c r="G15" s="20" t="s">
        <x:v>80</x:v>
      </x:c>
    </x:row>
    <x:row r="16" ht="30" hidden="0" customHeight="1">
      <x:c r="A16" s="16" t="n">
        <x:v>10</x:v>
      </x:c>
      <x:c r="B16" s="17" t="s">
        <x:v>81</x:v>
      </x:c>
      <x:c r="C16" s="18" t="n">
        <x:v>20</x:v>
      </x:c>
      <x:c r="D16" s="18" t="n">
        <x:v>20</x:v>
      </x:c>
      <x:c r="E16" s="18" t="n">
        <x:v>20</x:v>
      </x:c>
      <x:c r="F16" s="19"/>
      <x:c r="G16" s="20" t="s">
        <x:v>80</x:v>
      </x:c>
    </x:row>
    <x:row r="17" ht="30" hidden="0" customHeight="1">
      <x:c r="A17" s="16" t="n">
        <x:v>11</x:v>
      </x:c>
      <x:c r="B17" s="17" t="s">
        <x:v>82</x:v>
      </x:c>
      <x:c r="C17" s="18" t="n">
        <x:v>0</x:v>
      </x:c>
      <x:c r="D17" s="18" t="n">
        <x:v>0</x:v>
      </x:c>
      <x:c r="E17" s="18" t="n">
        <x:v>0</x:v>
      </x:c>
      <x:c r="F17" s="19" t="s">
        <x:v>83</x:v>
      </x:c>
      <x:c r="G17" s="20" t="s">
        <x:v>84</x:v>
      </x:c>
    </x:row>
    <x:row r="19" ht="16.5" hidden="0" customHeight="1">
      <x:c r="A19" s="21" t="s">
        <x:v>85</x:v>
      </x:c>
      <x:c r="B19" s="21"/>
      <x:c r="C19" s="21"/>
      <x:c r="D19" s="21"/>
      <x:c r="E19" s="21"/>
      <x:c r="F19" s="21"/>
      <x:c r="G19" s="21"/>
    </x:row>
    <x:row r="20" ht="15" hidden="0" customHeight="1">
      <x:c r="B20" s="15" t="s">
        <x:v>86</x:v>
      </x:c>
      <x:c r="C20" s="15" t="s">
        <x:v>53</x:v>
      </x:c>
      <x:c r="D20" s="15" t="s">
        <x:v>54</x:v>
      </x:c>
      <x:c r="E20" s="15" t="s">
        <x:v>55</x:v>
      </x:c>
      <x:c r="F20" s="15" t="s">
        <x:v>87</x:v>
      </x:c>
      <x:c r="G20" s="15" t="s">
        <x:v>88</x:v>
      </x:c>
    </x:row>
    <x:row r="21" ht="15" hidden="0" customHeight="1">
      <x:c r="B21" s="22" t="s">
        <x:v>89</x:v>
      </x:c>
      <x:c r="C21" s="23" t="n">
        <x:v>70</x:v>
      </x:c>
      <x:c r="D21" s="23" t="n">
        <x:v>190</x:v>
      </x:c>
      <x:c r="E21" s="23" t="n">
        <x:v>130</x:v>
      </x:c>
      <x:c r="F21" s="24" t="n">
        <x:f aca="0">IF(COUNT(C21:E21)=0,"",SUM(C21:E21))</x:f>
        <x:v>390</x:v>
      </x:c>
    </x:row>
    <x:row r="22" ht="15" hidden="0" customHeight="1">
      <x:c r="B22" s="22" t="s">
        <x:v>90</x:v>
      </x:c>
      <x:c r="C22" s="23" t="n">
        <x:v>25</x:v>
      </x:c>
      <x:c r="D22" s="23" t="n">
        <x:v>35</x:v>
      </x:c>
      <x:c r="E22" s="23" t="n">
        <x:v>45</x:v>
      </x:c>
      <x:c r="F22" s="24" t="n">
        <x:f aca="0">IF(COUNT(C22:E22)=0,"",SUM(C22:E22))</x:f>
        <x:v>105</x:v>
      </x:c>
    </x:row>
    <x:row r="23" ht="15" hidden="0" customHeight="1">
      <x:c r="B23" s="25" t="s">
        <x:v>91</x:v>
      </x:c>
      <x:c r="C23" s="23" t="n">
        <x:v>45</x:v>
      </x:c>
      <x:c r="D23" s="23" t="n">
        <x:v>155</x:v>
      </x:c>
      <x:c r="E23" s="23" t="n">
        <x:v>85</x:v>
      </x:c>
      <x:c r="F23" s="26" t="n">
        <x:f aca="0">IF(COUNT(C23:E23)=0,"",SUM(C23:E23))</x:f>
        <x:v>285</x:v>
      </x:c>
      <x:c r="G23" s="27" t="str">
        <x:f aca="0">IF(COUNT(C21:E21,C22:E22,C23:E23)&lt;9,"Chưa điền",IF(AND(ABS(C23-(C21-C22))&lt;0.01,ABS(D23-(D21-D22))&lt;0.01,ABS(E23-(E21-E22))&lt;0.01),"Đạt","Xem lại phép trừ"))</x:f>
        <x:v>Đạt</x:v>
      </x:c>
    </x:row>
    <x:row r="24" ht="15" hidden="0" customHeight="1">
      <x:c r="B24" s="22" t="s">
        <x:v>92</x:v>
      </x:c>
      <x:c r="C24" s="23" t="n">
        <x:v>140</x:v>
      </x:c>
      <x:c r="D24" s="23" t="n">
        <x:v>140</x:v>
      </x:c>
      <x:c r="E24" s="23" t="n">
        <x:v>140</x:v>
      </x:c>
      <x:c r="F24" s="24" t="n">
        <x:f aca="0">IF(COUNT(C24:E24)=0,"",SUM(C24:E24))</x:f>
        <x:v>420</x:v>
      </x:c>
    </x:row>
    <x:row r="25" ht="15" hidden="0" customHeight="1">
      <x:c r="B25" s="25" t="s">
        <x:v>93</x:v>
      </x:c>
      <x:c r="C25" s="23" t="n">
        <x:v>-95</x:v>
      </x:c>
      <x:c r="D25" s="23" t="n">
        <x:v>15</x:v>
      </x:c>
      <x:c r="E25" s="23" t="n">
        <x:v>-55</x:v>
      </x:c>
      <x:c r="F25" s="26" t="n">
        <x:f aca="0">IF(COUNT(C25:E25)=0,"",SUM(C25:E25))</x:f>
        <x:v>-135</x:v>
      </x:c>
      <x:c r="G25" s="27" t="str">
        <x:f aca="0">IF(COUNT(C23:E23,C24:E24,C25:E25)&lt;9,"Chưa điền",IF(AND(ABS(C25-(C23-C24))&lt;0.01,ABS(D25-(D23-D24))&lt;0.01,ABS(E25-(E23-E24))&lt;0.01),"Đạt","Xem lại phép trừ"))</x:f>
        <x:v>Đạt</x:v>
      </x:c>
    </x:row>
    <x:row r="26" ht="15" hidden="0" customHeight="1">
      <x:c r="B26" s="22" t="s">
        <x:v>94</x:v>
      </x:c>
      <x:c r="C26" s="23" t="n">
        <x:v>10</x:v>
      </x:c>
      <x:c r="D26" s="23" t="n">
        <x:v>10</x:v>
      </x:c>
      <x:c r="E26" s="23" t="n">
        <x:v>10</x:v>
      </x:c>
      <x:c r="F26" s="24" t="n">
        <x:f aca="0">IF(COUNT(C26:E26)=0,"",SUM(C26:E26))</x:f>
        <x:v>30</x:v>
      </x:c>
    </x:row>
    <x:row r="27" ht="15" hidden="0" customHeight="1">
      <x:c r="B27" s="25" t="s">
        <x:v>95</x:v>
      </x:c>
      <x:c r="C27" s="23" t="n">
        <x:v>-105</x:v>
      </x:c>
      <x:c r="D27" s="23" t="n">
        <x:v>5</x:v>
      </x:c>
      <x:c r="E27" s="23" t="n">
        <x:v>-65</x:v>
      </x:c>
      <x:c r="F27" s="26" t="n">
        <x:f aca="0">IF(COUNT(C27:E27)=0,"",SUM(C27:E27))</x:f>
        <x:v>-165</x:v>
      </x:c>
      <x:c r="G27" s="27" t="str">
        <x:f aca="0">IF(COUNT(C25:E25,C26:E26,C27:E27)&lt;9,"Chưa điền",IF(AND(ABS(C27-(C25-C26))&lt;0.01,ABS(D27-(D25-D26))&lt;0.01,ABS(E27-(E25-E26))&lt;0.01),"Đạt","Xem lại phép trừ"))</x:f>
        <x:v>Đạt</x:v>
      </x:c>
    </x:row>
    <x:row r="28" ht="15" hidden="0" customHeight="1">
      <x:c r="B28" s="22" t="s">
        <x:v>96</x:v>
      </x:c>
      <x:c r="C28" s="23" t="n">
        <x:v>3</x:v>
      </x:c>
      <x:c r="D28" s="23" t="n">
        <x:v>3</x:v>
      </x:c>
      <x:c r="E28" s="23" t="n">
        <x:v>3</x:v>
      </x:c>
      <x:c r="F28" s="24" t="n">
        <x:f aca="0">IF(COUNT(C28:E28)=0,"",SUM(C28:E28))</x:f>
        <x:v>9</x:v>
      </x:c>
    </x:row>
    <x:row r="29" ht="15" hidden="0" customHeight="1">
      <x:c r="B29" s="25" t="s">
        <x:v>97</x:v>
      </x:c>
      <x:c r="C29" s="23" t="n">
        <x:v>-108</x:v>
      </x:c>
      <x:c r="D29" s="23" t="n">
        <x:v>2</x:v>
      </x:c>
      <x:c r="E29" s="23" t="n">
        <x:v>-68</x:v>
      </x:c>
      <x:c r="F29" s="26" t="n">
        <x:f aca="0">IF(COUNT(C29:E29)=0,"",SUM(C29:E29))</x:f>
        <x:v>-174</x:v>
      </x:c>
      <x:c r="G29" s="27" t="str">
        <x:f aca="0">IF(COUNT(C27:E27,C28:E28,C29:E29)&lt;9,"Chưa điền",IF(AND(ABS(C29-(C27-C28))&lt;0.01,ABS(D29-(D27-D28))&lt;0.01,ABS(E29-(E27-E28))&lt;0.01),"Đạt","Xem lại phép trừ"))</x:f>
        <x:v>Đạt</x:v>
      </x:c>
    </x:row>
    <x:row r="30" ht="15" hidden="0" customHeight="1">
      <x:c r="B30" s="22" t="s">
        <x:v>82</x:v>
      </x:c>
      <x:c r="C30" s="23" t="n">
        <x:v>0</x:v>
      </x:c>
      <x:c r="D30" s="23" t="n">
        <x:v>0</x:v>
      </x:c>
      <x:c r="E30" s="23" t="n">
        <x:v>0</x:v>
      </x:c>
      <x:c r="F30" s="24" t="n">
        <x:f aca="0">IF(COUNT(C30:E30)=0,"",SUM(C30:E30))</x:f>
        <x:v>0</x:v>
      </x:c>
    </x:row>
    <x:row r="31" ht="15" hidden="0" customHeight="1">
      <x:c r="B31" s="25" t="s">
        <x:v>98</x:v>
      </x:c>
      <x:c r="C31" s="23" t="n">
        <x:v>-108</x:v>
      </x:c>
      <x:c r="D31" s="23" t="n">
        <x:v>2</x:v>
      </x:c>
      <x:c r="E31" s="23" t="n">
        <x:v>-68</x:v>
      </x:c>
      <x:c r="F31" s="26" t="n">
        <x:f aca="0">IF(COUNT(C31:E31)=0,"",SUM(C31:E31))</x:f>
        <x:v>-174</x:v>
      </x:c>
      <x:c r="G31" s="27" t="str">
        <x:f aca="0">IF(COUNT(C29:E29,C30:E30,C31:E31)&lt;9,"Chưa điền",IF(AND(ABS(C31-(C29-C30))&lt;0.01,ABS(D31-(D29-D30))&lt;0.01,ABS(E31-(E29-E30))&lt;0.01),"Đạt","Xem lại phép trừ"))</x:f>
        <x:v>Đạt</x:v>
      </x:c>
    </x:row>
    <x:row r="32" ht="15" hidden="0" customHeight="1">
      <x:c r="B32" s="22" t="s">
        <x:v>99</x:v>
      </x:c>
      <x:c r="C32" s="28" t="n">
        <x:f aca="0">IFERROR(C23/C21,"")</x:f>
        <x:v>0.642857142857143</x:v>
      </x:c>
      <x:c r="D32" s="28" t="n">
        <x:f aca="0">IFERROR(D23/D21,"")</x:f>
        <x:v>0.815789473684211</x:v>
      </x:c>
      <x:c r="E32" s="28" t="n">
        <x:f aca="0">IFERROR(E23/E21,"")</x:f>
        <x:v>0.653846153846154</x:v>
      </x:c>
      <x:c r="F32" s="28" t="n">
        <x:f aca="0">IFERROR(F23/F21,"")</x:f>
        <x:v>0.730769230769231</x:v>
      </x:c>
    </x:row>
    <x:row r="33" ht="45" hidden="0" customHeight="1">
      <x:c r="B33" s="29" t="s">
        <x:v>100</x:v>
      </x:c>
      <x:c r="G33" s="30" t="str">
        <x:f aca="0">IF(COUNT(C31:E31)&lt;3,"Chưa điền",IF(ABS(F31+174)&lt;0.01,"Đạt: đã ghi theo kỳ","Chưa đúng: có giao dịch đang ghi theo ngày tiền vào ra (xem cột G, dòng 7–17)"))</x:f>
        <x:v>Đạt: đã ghi theo kỳ</x:v>
      </x:c>
    </x:row>
    <x:row r="34" ht="16.5" hidden="0" customHeight="1">
      <x:c r="A34" s="21" t="s">
        <x:v>101</x:v>
      </x:c>
      <x:c r="B34" s="21"/>
      <x:c r="C34" s="21"/>
      <x:c r="D34" s="21"/>
      <x:c r="E34" s="21"/>
      <x:c r="F34" s="21"/>
      <x:c r="G34" s="21"/>
    </x:row>
    <x:row r="35" ht="15" hidden="0" customHeight="1">
      <x:c r="B35" s="15" t="s">
        <x:v>86</x:v>
      </x:c>
      <x:c r="C35" s="15" t="s">
        <x:v>102</x:v>
      </x:c>
      <x:c r="G35" s="15" t="s">
        <x:v>88</x:v>
      </x:c>
    </x:row>
    <x:row r="36" ht="15" hidden="0" customHeight="1">
      <x:c r="B36" s="5" t="s">
        <x:v>103</x:v>
      </x:c>
    </x:row>
    <x:row r="37" ht="15" hidden="0" customHeight="1">
      <x:c r="B37" s="22" t="s">
        <x:v>104</x:v>
      </x:c>
      <x:c r="C37" s="23" t="n">
        <x:v>921</x:v>
      </x:c>
    </x:row>
    <x:row r="38" ht="15" hidden="0" customHeight="1">
      <x:c r="B38" s="22" t="s">
        <x:v>105</x:v>
      </x:c>
      <x:c r="C38" s="23" t="n">
        <x:v>90</x:v>
      </x:c>
    </x:row>
    <x:row r="39" ht="15" hidden="0" customHeight="1">
      <x:c r="B39" s="22" t="s">
        <x:v>106</x:v>
      </x:c>
      <x:c r="C39" s="23" t="n">
        <x:v>360</x:v>
      </x:c>
    </x:row>
    <x:row r="40" ht="15" hidden="0" customHeight="1">
      <x:c r="B40" s="22" t="s">
        <x:v>107</x:v>
      </x:c>
      <x:c r="C40" s="23" t="n">
        <x:v>-30</x:v>
      </x:c>
    </x:row>
    <x:row r="41" ht="15" hidden="0" customHeight="1">
      <x:c r="B41" s="25" t="s">
        <x:v>108</x:v>
      </x:c>
      <x:c r="C41" s="23" t="n">
        <x:v>1341</x:v>
      </x:c>
      <x:c r="G41" s="27" t="str">
        <x:f aca="0">IF(COUNT(C37:C41)&lt;5,"Chưa điền",IF(ABS(C41-SUM(C37:C40))&lt;0.01,"Đạt","Xem lại phép cộng"))</x:f>
        <x:v>Đạt</x:v>
      </x:c>
    </x:row>
    <x:row r="42" ht="15" hidden="0" customHeight="1">
      <x:c r="B42" s="5" t="s">
        <x:v>109</x:v>
      </x:c>
    </x:row>
    <x:row r="43" ht="15" hidden="0" customHeight="1">
      <x:c r="B43" s="22" t="s">
        <x:v>110</x:v>
      </x:c>
      <x:c r="C43" s="23" t="n">
        <x:v>35</x:v>
      </x:c>
    </x:row>
    <x:row r="44" ht="15" hidden="0" customHeight="1">
      <x:c r="B44" s="22" t="s">
        <x:v>111</x:v>
      </x:c>
      <x:c r="C44" s="23" t="n">
        <x:v>180</x:v>
      </x:c>
    </x:row>
    <x:row r="45" ht="15" hidden="0" customHeight="1">
      <x:c r="B45" s="22" t="s">
        <x:v>112</x:v>
      </x:c>
      <x:c r="C45" s="23" t="n">
        <x:v>300</x:v>
      </x:c>
    </x:row>
    <x:row r="46" ht="15" hidden="0" customHeight="1">
      <x:c r="B46" s="25" t="s">
        <x:v>113</x:v>
      </x:c>
      <x:c r="C46" s="23" t="n">
        <x:v>515</x:v>
      </x:c>
      <x:c r="G46" s="27" t="str">
        <x:f aca="0">IF(COUNT(C43:C46)&lt;4,"Chưa điền",IF(ABS(C46-SUM(C43:C45))&lt;0.01,"Đạt","Xem lại phép cộng"))</x:f>
        <x:v>Đạt</x:v>
      </x:c>
    </x:row>
    <x:row r="47" ht="15" hidden="0" customHeight="1">
      <x:c r="B47" s="5" t="s">
        <x:v>114</x:v>
      </x:c>
    </x:row>
    <x:row r="48" ht="15" hidden="0" customHeight="1">
      <x:c r="B48" s="22" t="s">
        <x:v>115</x:v>
      </x:c>
      <x:c r="C48" s="23" t="n">
        <x:v>1000</x:v>
      </x:c>
    </x:row>
    <x:row r="49" ht="15" hidden="0" customHeight="1">
      <x:c r="B49" s="22" t="s">
        <x:v>116</x:v>
      </x:c>
      <x:c r="C49" s="23" t="n">
        <x:v>-174</x:v>
      </x:c>
    </x:row>
    <x:row r="50" ht="15" hidden="0" customHeight="1">
      <x:c r="B50" s="25" t="s">
        <x:v>117</x:v>
      </x:c>
      <x:c r="C50" s="23" t="n">
        <x:v>826</x:v>
      </x:c>
      <x:c r="G50" s="27" t="str">
        <x:f aca="0">IF(COUNT(C48:C50)&lt;3,"Chưa điền",IF(ABS(C50-SUM(C48:C49))&lt;0.01,"Đạt","Xem lại phép cộng"))</x:f>
        <x:v>Đạt</x:v>
      </x:c>
    </x:row>
    <x:row r="51" ht="15" hidden="0" customHeight="1">
      <x:c r="B51" s="22" t="s">
        <x:v>118</x:v>
      </x:c>
      <x:c r="C51" s="23" t="n">
        <x:v>1341</x:v>
      </x:c>
      <x:c r="G51" s="27" t="str">
        <x:f aca="0">IF(COUNT(C46,C50,C51)&lt;3,"Chưa điền",IF(ABS(C51-(C46+C50))&lt;0.01,"Đạt","Xem lại phép cộng"))</x:f>
        <x:v>Đạt</x:v>
      </x:c>
    </x:row>
    <x:row r="52" ht="15" hidden="0" customHeight="1">
      <x:c r="B52" s="25" t="s">
        <x:v>119</x:v>
      </x:c>
      <x:c r="G52" s="31" t="str">
        <x:f aca="0">IF(COUNT(C41,C51)&lt;2,"Chưa điền",IF(ABS(C41-C51)&lt;0.01,"Đạt: bảng đã cân","Chưa cân: tìm khoản ghi sai"))</x:f>
        <x:v>Đạt: bảng đã cân</x:v>
      </x:c>
    </x:row>
    <x:row r="53" ht="15" hidden="0" customHeight="1">
      <x:c r="B53" s="25" t="s">
        <x:v>120</x:v>
      </x:c>
      <x:c r="G53" s="31" t="str">
        <x:f aca="0">IF(COUNT(C49,F31)&lt;2,"Chưa điền",IF(ABS(C49-F31)&lt;0.01,"Đạt","Chưa khớp bài 1"))</x:f>
        <x:v>Đạt</x:v>
      </x:c>
    </x:row>
    <x:row r="55" ht="16.5" hidden="0" customHeight="1">
      <x:c r="A55" s="21" t="s">
        <x:v>121</x:v>
      </x:c>
      <x:c r="B55" s="21"/>
      <x:c r="C55" s="21"/>
      <x:c r="D55" s="21"/>
      <x:c r="E55" s="21"/>
      <x:c r="F55" s="21"/>
      <x:c r="G55" s="21"/>
    </x:row>
    <x:row r="56" ht="15" hidden="0" customHeight="1">
      <x:c r="B56" s="15" t="s">
        <x:v>86</x:v>
      </x:c>
      <x:c r="C56" s="15" t="s">
        <x:v>102</x:v>
      </x:c>
      <x:c r="G56" s="15" t="s">
        <x:v>88</x:v>
      </x:c>
    </x:row>
    <x:row r="57" ht="15" hidden="0" customHeight="1">
      <x:c r="B57" s="22" t="s">
        <x:v>98</x:v>
      </x:c>
      <x:c r="C57" s="23" t="n">
        <x:v>-174</x:v>
      </x:c>
    </x:row>
    <x:row r="58" ht="16.5" hidden="0" customHeight="1">
      <x:c r="B58" s="32" t="s">
        <x:v>122</x:v>
      </x:c>
      <x:c r="C58" s="23" t="n">
        <x:v>30</x:v>
      </x:c>
    </x:row>
    <x:row r="59" ht="31.5" hidden="0" customHeight="1">
      <x:c r="B59" s="32" t="s">
        <x:v>123</x:v>
      </x:c>
      <x:c r="C59" s="23" t="n">
        <x:v>-90</x:v>
      </x:c>
    </x:row>
    <x:row r="60" ht="31.5" hidden="0" customHeight="1">
      <x:c r="B60" s="32" t="s">
        <x:v>124</x:v>
      </x:c>
      <x:c r="C60" s="23" t="n">
        <x:v>35</x:v>
      </x:c>
    </x:row>
    <x:row r="61" ht="16.5" hidden="0" customHeight="1">
      <x:c r="B61" s="32" t="s">
        <x:v>125</x:v>
      </x:c>
      <x:c r="C61" s="23" t="n">
        <x:v>180</x:v>
      </x:c>
    </x:row>
    <x:row r="62" ht="15" hidden="0" customHeight="1">
      <x:c r="B62" s="25" t="s">
        <x:v>126</x:v>
      </x:c>
      <x:c r="C62" s="23" t="n">
        <x:v>-19</x:v>
      </x:c>
      <x:c r="G62" s="27" t="str">
        <x:f aca="0">IF(COUNT(C57:C62)&lt;6,"Chưa điền",IF(ABS(C62-SUM(C57:C61))&lt;0.01,"Đạt","Xem lại phép cộng"))</x:f>
        <x:v>Đạt</x:v>
      </x:c>
    </x:row>
    <x:row r="63" ht="15" hidden="0" customHeight="1">
      <x:c r="B63" s="22" t="s">
        <x:v>127</x:v>
      </x:c>
      <x:c r="C63" s="23" t="n">
        <x:v>-360</x:v>
      </x:c>
    </x:row>
    <x:row r="64" ht="15" hidden="0" customHeight="1">
      <x:c r="B64" s="25" t="s">
        <x:v>128</x:v>
      </x:c>
      <x:c r="C64" s="23" t="n">
        <x:v>-360</x:v>
      </x:c>
      <x:c r="G64" s="27" t="str">
        <x:f aca="0">IF(COUNT(C63:C64)&lt;2,"Chưa điền",IF(ABS(C64-SUM(C63:C63))&lt;0.01,"Đạt","Xem lại phép cộng"))</x:f>
        <x:v>Đạt</x:v>
      </x:c>
    </x:row>
    <x:row r="65" ht="15" hidden="0" customHeight="1">
      <x:c r="B65" s="22" t="s">
        <x:v>129</x:v>
      </x:c>
      <x:c r="C65" s="23" t="n">
        <x:v>1000</x:v>
      </x:c>
    </x:row>
    <x:row r="66" ht="15" hidden="0" customHeight="1">
      <x:c r="B66" s="22" t="s">
        <x:v>130</x:v>
      </x:c>
      <x:c r="C66" s="23" t="n">
        <x:v>300</x:v>
      </x:c>
    </x:row>
    <x:row r="67" ht="15" hidden="0" customHeight="1">
      <x:c r="B67" s="25" t="s">
        <x:v>131</x:v>
      </x:c>
      <x:c r="C67" s="23" t="n">
        <x:v>1300</x:v>
      </x:c>
      <x:c r="G67" s="27" t="str">
        <x:f aca="0">IF(COUNT(C65:C67)&lt;3,"Chưa điền",IF(ABS(C67-SUM(C65:C66))&lt;0.01,"Đạt","Xem lại phép cộng"))</x:f>
        <x:v>Đạt</x:v>
      </x:c>
    </x:row>
    <x:row r="68" ht="15" hidden="0" customHeight="1">
      <x:c r="B68" s="25" t="s">
        <x:v>132</x:v>
      </x:c>
      <x:c r="C68" s="23" t="n">
        <x:v>921</x:v>
      </x:c>
      <x:c r="G68" s="27" t="str">
        <x:f aca="0">IF(COUNT(C62,C64,C67,C68)&lt;4,"Chưa điền",IF(ABS(C68-(C62+C64+C67))&lt;0.01,"Đạt","Xem lại phép cộng"))</x:f>
        <x:v>Đạt</x:v>
      </x:c>
    </x:row>
    <x:row r="69" ht="15" hidden="0" customHeight="1">
      <x:c r="B69" s="22" t="s">
        <x:v>133</x:v>
      </x:c>
      <x:c r="C69" s="33" t="n">
        <x:v>0</x:v>
      </x:c>
    </x:row>
    <x:row r="70" ht="15" hidden="0" customHeight="1">
      <x:c r="B70" s="25" t="s">
        <x:v>134</x:v>
      </x:c>
      <x:c r="C70" s="23" t="n">
        <x:v>921</x:v>
      </x:c>
      <x:c r="G70" s="27" t="str">
        <x:f aca="0">IF(COUNT(C68:C70)&lt;3,"Chưa điền",IF(ABS(C70-(C68+C69))&lt;0.01,"Đạt","Xem lại phép cộng"))</x:f>
        <x:v>Đạt</x:v>
      </x:c>
    </x:row>
    <x:row r="71" ht="31.5" hidden="0" customHeight="1">
      <x:c r="B71" s="25" t="s">
        <x:v>135</x:v>
      </x:c>
      <x:c r="G71" s="30" t="str">
        <x:f aca="0">IF(COUNT(C70,C37)&lt;2,"Chưa điền",IF(ABS(C70-C37)&lt;0.01,"Đạt: ba báo cáo đã khớp","Chưa khớp: soát dấu +/− ở dòng 58–66, rồi soát dòng Tiền ở bảng cân đối"))</x:f>
        <x:v>Đạt: ba báo cáo đã khớp</x:v>
      </x:c>
    </x:row>
    <x:row r="72" ht="15" hidden="0" customHeight="1">
      <x:c r="B72" s="25" t="s">
        <x:v>136</x:v>
      </x:c>
      <x:c r="G72" s="31" t="str">
        <x:f aca="0">IF(COUNT(C57,F31)&lt;2,"Chưa điền",IF(ABS(C57-F31)&lt;0.01,"Đạt","Chưa khớp bài 1"))</x:f>
        <x:v>Đạt</x:v>
      </x:c>
    </x:row>
    <x:row r="74" ht="15" hidden="0" customHeight="1">
      <x:c r="A74" s="5" t="s">
        <x:v>137</x:v>
      </x:c>
    </x:row>
    <x:row r="75" ht="48" hidden="0" customHeight="1">
      <x:c r="B75" s="32" t="s">
        <x:v>138</x:v>
      </x:c>
      <x:c r="C75" s="34" t="s">
        <x:v>139</x:v>
      </x:c>
      <x:c r="D75" s="34"/>
      <x:c r="E75" s="34"/>
      <x:c r="F75" s="34"/>
      <x:c r="G75" s="34"/>
    </x:row>
    <x:row r="76" ht="48" hidden="0" customHeight="1">
      <x:c r="B76" s="32" t="s">
        <x:v>140</x:v>
      </x:c>
      <x:c r="C76" s="34" t="s">
        <x:v>141</x:v>
      </x:c>
      <x:c r="D76" s="34"/>
      <x:c r="E76" s="34"/>
      <x:c r="F76" s="34"/>
      <x:c r="G76" s="34"/>
    </x:row>
    <x:row r="77" ht="48" hidden="0" customHeight="1">
      <x:c r="B77" s="32" t="s">
        <x:v>142</x:v>
      </x:c>
      <x:c r="C77" s="34" t="s">
        <x:v>143</x:v>
      </x:c>
      <x:c r="D77" s="34"/>
      <x:c r="E77" s="34"/>
      <x:c r="F77" s="34"/>
      <x:c r="G77" s="34"/>
    </x:row>
    <x:row r="78" ht="48" hidden="0" customHeight="1">
      <x:c r="B78" s="32" t="s">
        <x:v>144</x:v>
      </x:c>
      <x:c r="C78" s="34" t="s">
        <x:v>145</x:v>
      </x:c>
      <x:c r="D78" s="34"/>
      <x:c r="E78" s="34"/>
      <x:c r="F78" s="34"/>
      <x:c r="G78" s="34"/>
    </x:row>
    <x:row r="80" ht="15" hidden="0" customHeight="1">
      <x:c r="A80" s="5" t="s">
        <x:v>146</x:v>
      </x:c>
    </x:row>
    <x:row r="81" ht="31.5" hidden="0" customHeight="1">
      <x:c r="B81" s="14" t="s">
        <x:v>147</x:v>
      </x:c>
      <x:c r="C81" s="14"/>
      <x:c r="D81" s="14"/>
      <x:c r="E81" s="14"/>
      <x:c r="F81" s="14"/>
      <x:c r="G81" s="14"/>
    </x:row>
    <x:row r="82" ht="15" hidden="0" customHeight="1">
      <x:c r="B82" s="22" t="s">
        <x:v>148</x:v>
      </x:c>
      <x:c r="C82" s="33" t="n">
        <x:v>360</x:v>
      </x:c>
    </x:row>
    <x:row r="83" ht="15" hidden="0" customHeight="1">
      <x:c r="B83" s="22" t="s">
        <x:v>149</x:v>
      </x:c>
      <x:c r="C83" s="33" t="n">
        <x:v>12</x:v>
      </x:c>
    </x:row>
    <x:row r="84" ht="15" hidden="0" customHeight="1">
      <x:c r="B84" s="22" t="s">
        <x:v>150</x:v>
      </x:c>
      <x:c r="C84" s="33" t="n">
        <x:v>36</x:v>
      </x:c>
    </x:row>
    <x:row r="85" ht="15" hidden="0" customHeight="1">
      <x:c r="B85" s="22" t="s">
        <x:v>151</x:v>
      </x:c>
      <x:c r="C85" s="35" t="n">
        <x:v>0.15</x:v>
      </x:c>
    </x:row>
    <x:row r="86" ht="46.5" hidden="0" customHeight="1">
      <x:c r="B86" s="32" t="s">
        <x:v>152</x:v>
      </x:c>
      <x:c r="C86" s="36" t="n">
        <x:v>346.17</x:v>
      </x:c>
      <x:c r="G86" s="27" t="str">
        <x:f aca="0">IF(C86="","Chưa điền",IF(ABS(C86-PV(C85/12,C84,-C83))&lt;1,"Đạt","Xem lại"))</x:f>
        <x:v>Đạt</x:v>
      </x:c>
    </x:row>
    <x:row r="87" ht="15" hidden="0" customHeight="1">
      <x:c r="B87" s="22" t="s">
        <x:v>153</x:v>
      </x:c>
      <x:c r="C87" s="37" t="s">
        <x:v>154</x:v>
      </x:c>
      <x:c r="G87" s="27" t="str">
        <x:f aca="0">IF(C87="","Chưa điền",IF(C87=IF(PV(C85/12,C84,-C83)&lt;C82,"Thuê","Mua"),"Đạt","Xem lại"))</x:f>
        <x:v>Đạt</x:v>
      </x:c>
    </x:row>
    <x:row r="88" ht="31.5" hidden="0" customHeight="1">
      <x:c r="B88" s="32" t="s">
        <x:v>155</x:v>
      </x:c>
      <x:c r="C88" s="36" t="n">
        <x:v>382.94</x:v>
      </x:c>
      <x:c r="G88" s="27" t="str">
        <x:f aca="0">IF(C88="","Chưa điền",IF(ABS(C88-PV(0.08/12,C84,-C83))&lt;1,"Đạt","Xem lại"))</x:f>
        <x:v>Đạt</x:v>
      </x:c>
    </x:row>
    <x:row r="89" ht="15" hidden="0" customHeight="1">
      <x:c r="B89" s="22" t="s">
        <x:v>156</x:v>
      </x:c>
      <x:c r="C89" s="37" t="s">
        <x:v>157</x:v>
      </x:c>
      <x:c r="G89" s="27" t="str">
        <x:f aca="0">IF(C89="","Chưa điền",IF(C89=IF(PV(0.08/12,C84,-C83)&lt;C82,"Thuê","Mua"),"Đạt","Xem lại"))</x:f>
        <x:v>Đạt</x:v>
      </x:c>
    </x:row>
  </x:sheetData>
  <x:mergeCells>
    <x:mergeCell ref="A3:G3"/>
    <x:mergeCell ref="A19:G19"/>
    <x:mergeCell ref="A34:G34"/>
    <x:mergeCell ref="A55:G55"/>
    <x:mergeCell ref="C75:G75"/>
    <x:mergeCell ref="C76:G76"/>
    <x:mergeCell ref="C77:G77"/>
    <x:mergeCell ref="C78:G78"/>
    <x:mergeCell ref="B81:G81"/>
  </x:mergeCells>
  <x:dataValidations count="1">
    <x:dataValidation type="list" errorStyle="stop" operator="between" allowBlank="1" showDropDown="0" showInputMessage="0" showErrorMessage="0" sqref="C87 C89">
      <x:formula1>"Mua,Thuê"</x:formula1>
      <x:formula2>0</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48" style="1" hidden="0" customWidth="1"/>
    <x:col min="2" max="2" width="22" style="1" hidden="0" customWidth="1"/>
    <x:col min="3" max="3" width="18" style="1" hidden="0" customWidth="1"/>
    <x:col min="4" max="4" width="60" style="1" hidden="0" customWidth="1"/>
    <x:col min="5" max="5" width="64" style="1" hidden="0" customWidth="1"/>
  </x:cols>
  <x:sheetData>
    <x:row r="1" ht="17.25" hidden="0" customHeight="1">
      <x:c r="A1" s="2" t="s">
        <x:v>158</x:v>
      </x:c>
    </x:row>
    <x:row r="2" ht="15" hidden="0" customHeight="1">
      <x:c r="A2" s="9" t="s">
        <x:v>159</x:v>
      </x:c>
    </x:row>
    <x:row r="3" ht="31.5" hidden="0" customHeight="1">
      <x:c r="A3" s="38" t="s">
        <x:v>160</x:v>
      </x:c>
      <x:c r="B3" s="38"/>
      <x:c r="C3" s="38"/>
      <x:c r="D3" s="38"/>
      <x:c r="E3" s="38"/>
    </x:row>
    <x:row r="4" ht="15" hidden="0" customHeight="1">
      <x:c r="A4" s="15" t="s">
        <x:v>161</x:v>
      </x:c>
      <x:c r="B4" s="15" t="s">
        <x:v>162</x:v>
      </x:c>
      <x:c r="C4" s="15" t="s">
        <x:v>163</x:v>
      </x:c>
      <x:c r="D4" s="15" t="s">
        <x:v>164</x:v>
      </x:c>
      <x:c r="E4" s="15" t="s">
        <x:v>165</x:v>
      </x:c>
    </x:row>
    <x:row r="5" ht="30" hidden="0" customHeight="1">
      <x:c r="A5" s="39" t="s">
        <x:v>166</x:v>
      </x:c>
      <x:c r="B5" s="40" t="s">
        <x:v>167</x:v>
      </x:c>
      <x:c r="C5" s="41"/>
      <x:c r="D5" s="42"/>
      <x:c r="E5" s="43" t="s">
        <x:v>168</x:v>
      </x:c>
    </x:row>
    <x:row r="6" ht="30" hidden="0" customHeight="1">
      <x:c r="A6" s="39" t="s">
        <x:v>169</x:v>
      </x:c>
      <x:c r="B6" s="44" t="n">
        <x:v>2</x:v>
      </x:c>
      <x:c r="C6" s="41" t="s">
        <x:v>170</x:v>
      </x:c>
      <x:c r="D6" s="42" t="s">
        <x:v>171</x:v>
      </x:c>
      <x:c r="E6" s="43" t="s">
        <x:v>172</x:v>
      </x:c>
    </x:row>
    <x:row r="7" ht="43.5" hidden="0" customHeight="1">
      <x:c r="A7" s="39" t="s">
        <x:v>173</x:v>
      </x:c>
      <x:c r="B7" s="44" t="n">
        <x:v>2000</x:v>
      </x:c>
      <x:c r="C7" s="41" t="s">
        <x:v>174</x:v>
      </x:c>
      <x:c r="D7" s="42" t="s">
        <x:v>175</x:v>
      </x:c>
      <x:c r="E7" s="43" t="s">
        <x:v>176</x:v>
      </x:c>
    </x:row>
    <x:row r="8" ht="15.75" hidden="0" customHeight="1">
      <x:c r="A8" s="39" t="s">
        <x:v>177</x:v>
      </x:c>
      <x:c r="B8" s="44" t="n">
        <x:v>300</x:v>
      </x:c>
      <x:c r="C8" s="41" t="s">
        <x:v>174</x:v>
      </x:c>
      <x:c r="D8" s="42" t="s">
        <x:v>178</x:v>
      </x:c>
      <x:c r="E8" s="43" t="s">
        <x:v>179</x:v>
      </x:c>
    </x:row>
    <x:row r="9" ht="43.5" hidden="0" customHeight="1">
      <x:c r="A9" s="39" t="s">
        <x:v>180</x:v>
      </x:c>
      <x:c r="B9" s="44" t="n">
        <x:v>0.4</x:v>
      </x:c>
      <x:c r="C9" s="41" t="s">
        <x:v>181</x:v>
      </x:c>
      <x:c r="D9" s="42" t="s">
        <x:v>182</x:v>
      </x:c>
      <x:c r="E9" s="43" t="s">
        <x:v>183</x:v>
      </x:c>
    </x:row>
    <x:row r="10" ht="30" hidden="0" customHeight="1">
      <x:c r="A10" s="39" t="s">
        <x:v>184</x:v>
      </x:c>
      <x:c r="B10" s="44" t="n">
        <x:v>1.6</x:v>
      </x:c>
      <x:c r="C10" s="41" t="s">
        <x:v>181</x:v>
      </x:c>
      <x:c r="D10" s="42" t="s">
        <x:v>185</x:v>
      </x:c>
      <x:c r="E10" s="43" t="s">
        <x:v>186</x:v>
      </x:c>
    </x:row>
    <x:row r="11" ht="30" hidden="0" customHeight="1">
      <x:c r="A11" s="39" t="s">
        <x:v>187</x:v>
      </x:c>
      <x:c r="B11" s="44" t="n">
        <x:v>26000</x:v>
      </x:c>
      <x:c r="C11" s="41" t="s">
        <x:v>188</x:v>
      </x:c>
      <x:c r="D11" s="42" t="s">
        <x:v>189</x:v>
      </x:c>
      <x:c r="E11" s="43" t="s">
        <x:v>190</x:v>
      </x:c>
    </x:row>
    <x:row r="12" ht="30" hidden="0" customHeight="1">
      <x:c r="A12" s="39" t="s">
        <x:v>191</x:v>
      </x:c>
      <x:c r="B12" s="45" t="n">
        <x:v>0.1</x:v>
      </x:c>
      <x:c r="C12" s="41" t="s">
        <x:v>192</x:v>
      </x:c>
      <x:c r="D12" s="42" t="s">
        <x:v>193</x:v>
      </x:c>
      <x:c r="E12" s="43" t="s">
        <x:v>194</x:v>
      </x:c>
    </x:row>
    <x:row r="13" ht="43.5" hidden="0" customHeight="1">
      <x:c r="A13" s="39" t="s">
        <x:v>195</x:v>
      </x:c>
      <x:c r="B13" s="44" t="n">
        <x:v>100</x:v>
      </x:c>
      <x:c r="C13" s="41" t="s">
        <x:v>196</x:v>
      </x:c>
      <x:c r="D13" s="42" t="s">
        <x:v>197</x:v>
      </x:c>
      <x:c r="E13" s="43" t="s">
        <x:v>198</x:v>
      </x:c>
    </x:row>
    <x:row r="14" ht="30" hidden="0" customHeight="1">
      <x:c r="A14" s="39" t="s">
        <x:v>199</x:v>
      </x:c>
      <x:c r="B14" s="45" t="n">
        <x:v>0.1</x:v>
      </x:c>
      <x:c r="C14" s="41" t="s">
        <x:v>192</x:v>
      </x:c>
      <x:c r="D14" s="42" t="s">
        <x:v>200</x:v>
      </x:c>
      <x:c r="E14" s="43" t="s">
        <x:v>201</x:v>
      </x:c>
    </x:row>
    <x:row r="15" ht="15.75" hidden="0" customHeight="1">
      <x:c r="A15" s="39" t="s">
        <x:v>202</x:v>
      </x:c>
      <x:c r="B15" s="44" t="n">
        <x:v>1.5</x:v>
      </x:c>
      <x:c r="C15" s="41" t="s">
        <x:v>203</x:v>
      </x:c>
      <x:c r="D15" s="42" t="s">
        <x:v>204</x:v>
      </x:c>
      <x:c r="E15" s="43" t="s">
        <x:v>205</x:v>
      </x:c>
    </x:row>
    <x:row r="16" ht="30" hidden="0" customHeight="1">
      <x:c r="A16" s="39" t="s">
        <x:v>206</x:v>
      </x:c>
      <x:c r="B16" s="44" t="n">
        <x:v>60000</x:v>
      </x:c>
      <x:c r="C16" s="41" t="s">
        <x:v>207</x:v>
      </x:c>
      <x:c r="D16" s="42" t="s">
        <x:v>208</x:v>
      </x:c>
      <x:c r="E16" s="43" t="s">
        <x:v>209</x:v>
      </x:c>
    </x:row>
    <x:row r="17" ht="30" hidden="0" customHeight="1">
      <x:c r="A17" s="39" t="s">
        <x:v>210</x:v>
      </x:c>
      <x:c r="B17" s="44" t="n">
        <x:v>60</x:v>
      </x:c>
      <x:c r="C17" s="41" t="s">
        <x:v>196</x:v>
      </x:c>
      <x:c r="D17" s="42" t="s">
        <x:v>211</x:v>
      </x:c>
      <x:c r="E17" s="43" t="s">
        <x:v>212</x:v>
      </x:c>
    </x:row>
    <x:row r="18" ht="15.75" hidden="0" customHeight="1">
      <x:c r="A18" s="39" t="s">
        <x:v>213</x:v>
      </x:c>
      <x:c r="B18" s="44" t="n">
        <x:v>30</x:v>
      </x:c>
      <x:c r="C18" s="41" t="s">
        <x:v>196</x:v>
      </x:c>
      <x:c r="D18" s="42" t="s">
        <x:v>214</x:v>
      </x:c>
      <x:c r="E18" s="43" t="s">
        <x:v>215</x:v>
      </x:c>
    </x:row>
    <x:row r="20" ht="15" hidden="0" customHeight="1">
      <x:c r="A20" s="5" t="s">
        <x:v>216</x:v>
      </x:c>
    </x:row>
    <x:row r="21" ht="15" hidden="0" customHeight="1">
      <x:c r="A21" s="46" t="s">
        <x:v>217</x:v>
      </x:c>
      <x:c r="B21" s="47" t="n">
        <x:f aca="0">IFERROR(B6*(B7*B9+B8*B10)/1000000*B11*(1+B12),0)</x:f>
        <x:v>73.216</x:v>
      </x:c>
    </x:row>
    <x:row r="22" ht="15" hidden="0" customHeight="1">
      <x:c r="A22" s="46" t="s">
        <x:v>218</x:v>
      </x:c>
      <x:c r="B22" s="47" t="n">
        <x:f aca="0">IFERROR(B14*B15/60*B16,0)</x:f>
        <x:v>150</x:v>
      </x:c>
    </x:row>
    <x:row r="23" ht="15" hidden="0" customHeight="1">
      <x:c r="A23" s="46" t="s">
        <x:v>219</x:v>
      </x:c>
      <x:c r="B23" s="47" t="n">
        <x:f aca="0">B13+B17+B18</x:f>
        <x:v>190</x:v>
      </x:c>
    </x:row>
    <x:row r="24" ht="15.75" hidden="0" customHeight="1">
      <x:c r="A24" s="46" t="s">
        <x:v>220</x:v>
      </x:c>
      <x:c r="B24" s="48" t="n">
        <x:f aca="0">B21+B22+B23</x:f>
        <x:v>413.216</x:v>
      </x:c>
      <x:c r="E24" s="49" t="s">
        <x:v>221</x:v>
      </x:c>
    </x:row>
    <x:row r="25" ht="15" hidden="0" customHeight="1">
      <x:c r="A25" s="46" t="s">
        <x:v>222</x:v>
      </x:c>
      <x:c r="B25" s="50" t="n">
        <x:f aca="0">IFERROR((B24-B21)/B21,0)</x:f>
        <x:v>4.64379370629371</x:v>
      </x:c>
      <x:c r="C25" s="51" t="s">
        <x:v>223</x:v>
      </x:c>
    </x:row>
    <x:row r="26" ht="15" hidden="0" customHeight="1">
      <x:c r="A26" s="46" t="s">
        <x:v>224</x:v>
      </x:c>
      <x:c r="B26" s="47" t="n">
        <x:f aca="0">3*B24</x:f>
        <x:v>1239.648</x:v>
      </x:c>
      <x:c r="C26" s="51" t="s">
        <x:v>225</x:v>
      </x:c>
    </x:row>
    <x:row r="27" ht="15" hidden="0" customHeight="1">
      <x:c r="A27" s="46" t="s">
        <x:v>226</x:v>
      </x:c>
      <x:c r="B27" s="47" t="n">
        <x:f aca="0">B24/(1-0.6)</x:f>
        <x:v>1033.04</x:v>
      </x:c>
      <x:c r="C27" s="51" t="s">
        <x:v>227</x:v>
      </x:c>
    </x:row>
  </x:sheetData>
  <x:mergeCells>
    <x:mergeCell ref="A3:E3"/>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6796875" defaultRowHeight="15"/>
  <x:cols>
    <x:col min="1" max="1" width="44" style="1" hidden="0" customWidth="1"/>
    <x:col min="2" max="3" width="30" style="1" hidden="0" customWidth="1"/>
    <x:col min="4" max="4" width="22" style="1" hidden="0" customWidth="1"/>
    <x:col min="5" max="5" width="20" style="1" hidden="0" customWidth="1"/>
    <x:col min="6" max="6" width="18" style="1" hidden="0" customWidth="1"/>
    <x:col min="7" max="7" width="22" style="1" hidden="0" customWidth="1"/>
    <x:col min="8" max="8" width="20" style="1" hidden="0" customWidth="1"/>
    <x:col min="9" max="9" width="46" style="1" hidden="0" customWidth="1"/>
  </x:cols>
  <x:sheetData>
    <x:row r="1" ht="17.25" hidden="0" customHeight="1">
      <x:c r="A1" s="2" t="s">
        <x:v>228</x:v>
      </x:c>
    </x:row>
    <x:row r="2" ht="15" hidden="0" customHeight="1">
      <x:c r="A2" s="9" t="s">
        <x:v>229</x:v>
      </x:c>
    </x:row>
    <x:row r="4" ht="15" hidden="0" customHeight="1">
      <x:c r="A4" s="15" t="s">
        <x:v>230</x:v>
      </x:c>
      <x:c r="B4" s="15" t="s">
        <x:v>162</x:v>
      </x:c>
      <x:c r="C4" s="15" t="s">
        <x:v>56</x:v>
      </x:c>
      <x:c r="D4" s="15" t="s">
        <x:v>164</x:v>
      </x:c>
    </x:row>
    <x:row r="5" ht="33" hidden="0" customHeight="1">
      <x:c r="A5" s="11" t="s">
        <x:v>231</x:v>
      </x:c>
      <x:c r="B5" s="52" t="s">
        <x:v>232</x:v>
      </x:c>
      <x:c r="C5" s="4" t="s">
        <x:v>233</x:v>
      </x:c>
      <x:c r="D5" s="53" t="s">
        <x:v>234</x:v>
      </x:c>
    </x:row>
    <x:row r="6" ht="63" hidden="0" customHeight="1">
      <x:c r="A6" s="11" t="s">
        <x:v>235</x:v>
      </x:c>
      <x:c r="B6" s="52" t="s">
        <x:v>236</x:v>
      </x:c>
      <x:c r="C6" s="4" t="s">
        <x:v>237</x:v>
      </x:c>
      <x:c r="D6" s="54"/>
    </x:row>
    <x:row r="7" ht="108" hidden="0" customHeight="1">
      <x:c r="A7" s="11" t="s">
        <x:v>238</x:v>
      </x:c>
      <x:c r="B7" s="52" t="s">
        <x:v>239</x:v>
      </x:c>
      <x:c r="D7" s="54"/>
    </x:row>
    <x:row r="8" ht="33" hidden="0" customHeight="1">
      <x:c r="A8" s="11" t="s">
        <x:v>240</x:v>
      </x:c>
      <x:c r="B8" s="52" t="s">
        <x:v>241</x:v>
      </x:c>
      <x:c r="C8" s="4" t="s">
        <x:v>242</x:v>
      </x:c>
      <x:c r="D8" s="53" t="s">
        <x:v>243</x:v>
      </x:c>
    </x:row>
    <x:row r="9" ht="15" hidden="0" customHeight="1">
      <x:c r="A9" s="46" t="s">
        <x:v>244</x:v>
      </x:c>
      <x:c r="B9" s="55" t="n">
        <x:v>499000</x:v>
      </x:c>
      <x:c r="C9" s="1" t="s">
        <x:v>196</x:v>
      </x:c>
      <x:c r="D9" s="54" t="s">
        <x:v>245</x:v>
      </x:c>
    </x:row>
    <x:row r="10" ht="15" hidden="0" customHeight="1">
      <x:c r="A10" s="46" t="s">
        <x:v>246</x:v>
      </x:c>
      <x:c r="B10" s="55" t="n">
        <x:v>300</x:v>
      </x:c>
      <x:c r="C10" s="1" t="s">
        <x:v>247</x:v>
      </x:c>
      <x:c r="D10" s="54" t="s">
        <x:v>248</x:v>
      </x:c>
    </x:row>
    <x:row r="11" ht="15" hidden="0" customHeight="1">
      <x:c r="A11" s="46" t="s">
        <x:v>249</x:v>
      </x:c>
      <x:c r="B11" s="55" t="n">
        <x:v>1500</x:v>
      </x:c>
      <x:c r="C11" s="1" t="s">
        <x:v>250</x:v>
      </x:c>
      <x:c r="D11" s="54" t="s">
        <x:v>251</x:v>
      </x:c>
    </x:row>
    <x:row r="12" ht="31.5" hidden="0" customHeight="1">
      <x:c r="A12" s="11" t="s">
        <x:v>252</x:v>
      </x:c>
      <x:c r="B12" s="55" t="n">
        <x:v>499000</x:v>
      </x:c>
      <x:c r="C12" s="1" t="s">
        <x:v>253</x:v>
      </x:c>
      <x:c r="D12" s="54" t="s">
        <x:v>254</x:v>
      </x:c>
    </x:row>
    <x:row r="14" ht="46.5" hidden="0" customHeight="1">
      <x:c r="A14" s="15" t="s">
        <x:v>255</x:v>
      </x:c>
      <x:c r="B14" s="56" t="s">
        <x:v>256</x:v>
      </x:c>
      <x:c r="C14" s="56" t="s">
        <x:v>257</x:v>
      </x:c>
      <x:c r="D14" s="15" t="s">
        <x:v>258</x:v>
      </x:c>
      <x:c r="E14" s="56" t="s">
        <x:v>259</x:v>
      </x:c>
      <x:c r="F14" s="15" t="s">
        <x:v>260</x:v>
      </x:c>
      <x:c r="G14" s="15" t="s">
        <x:v>261</x:v>
      </x:c>
      <x:c r="H14" s="15" t="s">
        <x:v>262</x:v>
      </x:c>
      <x:c r="I14" s="15" t="s">
        <x:v>164</x:v>
      </x:c>
    </x:row>
    <x:row r="15" ht="15" hidden="0" customHeight="1">
      <x:c r="A15" s="46" t="s">
        <x:v>263</x:v>
      </x:c>
      <x:c r="B15" s="57" t="n">
        <x:v>0.85</x:v>
      </x:c>
      <x:c r="C15" s="58" t="n">
        <x:v>300</x:v>
      </x:c>
      <x:c r="D15" s="47" t="n">
        <x:f aca="0">B9+MAX(0,C15-B10)*B11</x:f>
        <x:v>499000</x:v>
      </x:c>
      <x:c r="E15" s="47" t="n">
        <x:f aca="0">C15*'1_Chi phí mỗi việc'!B24</x:f>
        <x:v>123964.8</x:v>
      </x:c>
      <x:c r="F15" s="50" t="n">
        <x:f aca="0">IFERROR((D15-E15)/D15,0)</x:f>
        <x:v>0.751573547094188</x:v>
      </x:c>
      <x:c r="G15" s="47" t="n">
        <x:f aca="0">B12</x:f>
        <x:v>499000</x:v>
      </x:c>
      <x:c r="H15" s="50" t="n">
        <x:f aca="0">IFERROR((G15-E15)/G15,0)</x:f>
        <x:v>0.751573547094188</x:v>
      </x:c>
      <x:c r="I15" s="54" t="s">
        <x:v>264</x:v>
      </x:c>
    </x:row>
    <x:row r="16" ht="15" hidden="0" customHeight="1">
      <x:c r="A16" s="46" t="s">
        <x:v>265</x:v>
      </x:c>
      <x:c r="B16" s="57" t="n">
        <x:v>0.15</x:v>
      </x:c>
      <x:c r="C16" s="58" t="n">
        <x:v>3000</x:v>
      </x:c>
      <x:c r="D16" s="47" t="n">
        <x:f aca="0">B9+MAX(0,C16-B10)*B11</x:f>
        <x:v>4549000</x:v>
      </x:c>
      <x:c r="E16" s="47" t="n">
        <x:f aca="0">C16*'1_Chi phí mỗi việc'!B24</x:f>
        <x:v>1239648</x:v>
      </x:c>
      <x:c r="F16" s="50" t="n">
        <x:f aca="0">IFERROR((D16-E16)/D16,0)</x:f>
        <x:v>0.727489997801715</x:v>
      </x:c>
      <x:c r="G16" s="47" t="n">
        <x:f aca="0">B12</x:f>
        <x:v>499000</x:v>
      </x:c>
      <x:c r="H16" s="50" t="n">
        <x:f aca="0">IFERROR((G16-E16)/G16,0)</x:f>
        <x:v>-1.48426452905812</x:v>
      </x:c>
      <x:c r="I16" s="54" t="s">
        <x:v>266</x:v>
      </x:c>
    </x:row>
    <x:row r="17" ht="15" hidden="0" customHeight="1">
      <x:c r="A17" s="5" t="s">
        <x:v>267</x:v>
      </x:c>
      <x:c r="B17" s="50" t="n">
        <x:f aca="0">B15+B16</x:f>
        <x:v>1</x:v>
      </x:c>
      <x:c r="C17" s="59" t="n">
        <x:f aca="0">SUMPRODUCT(B15:B16,C15:C16)</x:f>
        <x:v>705</x:v>
      </x:c>
      <x:c r="D17" s="48" t="n">
        <x:f aca="0">SUMPRODUCT($B15:$B16,D15:D16)</x:f>
        <x:v>1106500</x:v>
      </x:c>
      <x:c r="E17" s="48" t="n">
        <x:f aca="0">SUMPRODUCT($B15:$B16,E15:E16)</x:f>
        <x:v>291317.28</x:v>
      </x:c>
      <x:c r="F17" s="60" t="n">
        <x:f aca="0">IFERROR((D17-E17)/D17,0)</x:f>
        <x:v>0.736721843651152</x:v>
      </x:c>
      <x:c r="G17" s="48" t="n">
        <x:f aca="0">SUMPRODUCT($B15:$B16,G15:G16)</x:f>
        <x:v>499000</x:v>
      </x:c>
      <x:c r="H17" s="60" t="n">
        <x:f aca="0">IFERROR((G17-E17)/G17,0)</x:f>
        <x:v>0.416197835671343</x:v>
      </x:c>
    </x:row>
    <x:row r="18" ht="15" hidden="0" customHeight="1">
      <x:c r="A18" s="1" t="s">
        <x:v>268</x:v>
      </x:c>
      <x:c r="B18" s="61" t="str">
        <x:f aca="0">IF(B17=0,"Chưa điền",IF(ABS(B17-1)&lt;0.001,"Đạt","Sai: tổng khác 100%"))</x:f>
        <x:v>Đạt</x:v>
      </x:c>
    </x:row>
    <x:row r="19" ht="15" hidden="0" customHeight="1">
      <x:c r="A19" s="1" t="s">
        <x:v>269</x:v>
      </x:c>
      <x:c r="B19" s="61" t="str">
        <x:f aca="0">IF(B11=0,"Chưa điền",IF(B11&gt;='1_Chi phí mỗi việc'!B26,"Đạt","Thấp hơn giá sàn"))</x:f>
        <x:v>Đạt</x:v>
      </x:c>
    </x:row>
    <x:row r="21" ht="15" hidden="0" customHeight="1">
      <x:c r="A21" s="1" t="s">
        <x:v>270</x:v>
      </x:c>
      <x:c r="B21" s="60" t="n">
        <x:f aca="0">IFERROR(B16*D16/D17,0)</x:f>
        <x:v>0.616674197921374</x:v>
      </x:c>
    </x:row>
    <x:row r="22" ht="15" hidden="0" customHeight="1">
      <x:c r="A22" s="1" t="s">
        <x:v>271</x:v>
      </x:c>
      <x:c r="B22" s="60" t="n">
        <x:f aca="0">IFERROR(B16*MAX(0,C16-B10)*B11/D17,0)</x:f>
        <x:v>0.549028468142793</x:v>
      </x:c>
    </x:row>
    <x:row r="23" ht="15" hidden="0" customHeight="1">
      <x:c r="A23" s="1" t="s">
        <x:v>272</x:v>
      </x:c>
      <x:c r="B23" s="61" t="str">
        <x:f aca="0">IF(D17=0,"Chưa điền",IF(B21&gt;0.5,"Trên 50% doanh thu đến từ khách dùng nhiều: xem tình huống đặc biệt ở trang 5","Đạt"))</x:f>
        <x:v>Trên 50% doanh thu đến từ khách dùng nhiều: xem tình huống đặc biệt ở trang 5</x:v>
      </x:c>
    </x:row>
    <x:row r="25" ht="15" hidden="0" customHeight="1">
      <x:c r="A25" s="5" t="s">
        <x:v>273</x:v>
      </x:c>
    </x:row>
    <x:row r="26" ht="15" hidden="0" customHeight="1">
      <x:c r="A26" s="22" t="s">
        <x:v>274</x:v>
      </x:c>
      <x:c r="B26" s="23" t="n">
        <x:v>4500000</x:v>
      </x:c>
      <x:c r="C26" s="22" t="s">
        <x:v>253</x:v>
      </x:c>
      <x:c r="D26" s="37" t="s">
        <x:v>275</x:v>
      </x:c>
    </x:row>
    <x:row r="27" ht="15" hidden="0" customHeight="1">
      <x:c r="A27" s="22" t="s">
        <x:v>276</x:v>
      </x:c>
      <x:c r="B27" s="62" t="n">
        <x:v>0</x:v>
      </x:c>
      <x:c r="C27" s="22" t="s">
        <x:v>277</x:v>
      </x:c>
      <x:c r="D27" s="37" t="s">
        <x:v>278</x:v>
      </x:c>
    </x:row>
    <x:row r="28" ht="45" hidden="0" customHeight="1">
      <x:c r="A28" s="15" t="s">
        <x:v>255</x:v>
      </x:c>
      <x:c r="B28" s="15" t="s">
        <x:v>279</x:v>
      </x:c>
      <x:c r="C28" s="15" t="s">
        <x:v>280</x:v>
      </x:c>
      <x:c r="D28" s="15" t="s">
        <x:v>281</x:v>
      </x:c>
      <x:c r="E28" s="15" t="s">
        <x:v>282</x:v>
      </x:c>
      <x:c r="F28" s="15" t="s">
        <x:v>283</x:v>
      </x:c>
    </x:row>
    <x:row r="29" ht="30" hidden="0" customHeight="1">
      <x:c r="A29" s="22" t="s">
        <x:v>263</x:v>
      </x:c>
      <x:c r="B29" s="24" t="n">
        <x:f aca="0">D15</x:f>
        <x:v>499000</x:v>
      </x:c>
      <x:c r="C29" s="28" t="n">
        <x:f aca="0">IFERROR(B29/$B$26,"")</x:f>
        <x:v>0.110888888888889</x:v>
      </x:c>
      <x:c r="D29" s="63" t="str">
        <x:f aca="0">IF(C29="","",IF(C29&lt;0.5,"Dưới 50%: còn dư địa",IF(C29&lt;=0.7,"Trong vùng 50–70%","Trên 70%: khách thà thuê người? Xem dòng 34")))</x:f>
        <x:v>Dưới 50%: còn dư địa</x:v>
      </x:c>
      <x:c r="E29" s="64" t="n">
        <x:f aca="0">IFERROR(E15/B29,"")</x:f>
        <x:v>0.248426452905812</x:v>
      </x:c>
      <x:c r="F29" s="27" t="str">
        <x:f aca="0">IF(E29="","",IF(E29&lt;0.3,"Ổn (dưới 0,3)",IF(E29&lt;=0.6,"Đáng lo (0,3–0,6)","Nguy (trên 0,6)")))</x:f>
        <x:v>Ổn (dưới 0,3)</x:v>
      </x:c>
    </x:row>
    <x:row r="30" ht="30" hidden="0" customHeight="1">
      <x:c r="A30" s="22" t="s">
        <x:v>284</x:v>
      </x:c>
      <x:c r="B30" s="24" t="n">
        <x:f aca="0">D16</x:f>
        <x:v>4549000</x:v>
      </x:c>
      <x:c r="C30" s="28" t="n">
        <x:f aca="0">IFERROR(B30/$B$26,"")</x:f>
        <x:v>1.01088888888889</x:v>
      </x:c>
      <x:c r="D30" s="63" t="str">
        <x:f aca="0">IF(C30="","",IF(C30&lt;0.5,"Dưới 50%: còn dư địa",IF(C30&lt;=0.7,"Trong vùng 50–70%","Trên 70%: khách thà thuê người? Xem dòng 34")))</x:f>
        <x:v>Trên 70%: khách thà thuê người? Xem dòng 34</x:v>
      </x:c>
      <x:c r="E30" s="64" t="n">
        <x:f aca="0">IFERROR(E16/B30,"")</x:f>
        <x:v>0.272510002198285</x:v>
      </x:c>
      <x:c r="F30" s="27" t="str">
        <x:f aca="0">IF(E30="","",IF(E30&lt;0.3,"Ổn (dưới 0,3)",IF(E30&lt;=0.6,"Đáng lo (0,3–0,6)","Nguy (trên 0,6)")))</x:f>
        <x:v>Ổn (dưới 0,3)</x:v>
      </x:c>
    </x:row>
    <x:row r="31" ht="30" hidden="0" customHeight="1">
      <x:c r="A31" s="22" t="s">
        <x:v>285</x:v>
      </x:c>
      <x:c r="B31" s="24" t="n">
        <x:f aca="0">G16</x:f>
        <x:v>499000</x:v>
      </x:c>
      <x:c r="C31" s="28" t="n">
        <x:f aca="0">IFERROR(B31/$B$26,"")</x:f>
        <x:v>0.110888888888889</x:v>
      </x:c>
      <x:c r="D31" s="63" t="str">
        <x:f aca="0">IF(C31="","",IF(C31&lt;0.5,"Dưới 50%: còn dư địa",IF(C31&lt;=0.7,"Trong vùng 50–70%","Trên 70%: khách thà thuê người? Xem dòng 34")))</x:f>
        <x:v>Dưới 50%: còn dư địa</x:v>
      </x:c>
      <x:c r="E31" s="64" t="n">
        <x:f aca="0">IFERROR(E16/B31,"")</x:f>
        <x:v>2.48426452905812</x:v>
      </x:c>
      <x:c r="F31" s="27" t="str">
        <x:f aca="0">IF(E31="","",IF(E31&lt;0.3,"Ổn (dưới 0,3)",IF(E31&lt;=0.6,"Đáng lo (0,3–0,6)","Nguy (trên 0,6)")))</x:f>
        <x:v>Nguy (trên 0,6)</x:v>
      </x:c>
    </x:row>
    <x:row r="32" ht="15" hidden="0" customHeight="1">
      <x:c r="A32" s="25" t="s">
        <x:v>286</x:v>
      </x:c>
      <x:c r="B32" s="65" t="n">
        <x:f aca="0">IFERROR((D17*(1-B27)-E17)/D17,"")</x:f>
        <x:v>0.736721843651152</x:v>
      </x:c>
      <x:c r="C32" s="27" t="str">
        <x:f aca="0">IF(B32="","",IF(B32&gt;0.5,"Ổn",IF(B32&gt;=0.35,"Đáng lo","Nguy")))</x:f>
        <x:v>Ổn</x:v>
      </x:c>
      <x:c r="D32" s="51" t="s">
        <x:v>287</x:v>
      </x:c>
    </x:row>
    <x:row r="33" ht="30" hidden="0" customHeight="1">
      <x:c r="A33" s="14" t="s">
        <x:v>288</x:v>
      </x:c>
      <x:c r="B33" s="14"/>
      <x:c r="C33" s="14"/>
      <x:c r="D33" s="14"/>
      <x:c r="E33" s="14"/>
      <x:c r="F33" s="14"/>
      <x:c r="G33" s="14"/>
      <x:c r="H33" s="14"/>
      <x:c r="I33" s="14"/>
    </x:row>
    <x:row r="34" ht="30" hidden="0" customHeight="1">
      <x:c r="A34" s="14" t="s">
        <x:v>289</x:v>
      </x:c>
      <x:c r="B34" s="14"/>
      <x:c r="C34" s="14"/>
      <x:c r="D34" s="14"/>
      <x:c r="E34" s="14"/>
      <x:c r="F34" s="14"/>
      <x:c r="G34" s="14"/>
      <x:c r="H34" s="14"/>
      <x:c r="I34" s="14"/>
    </x:row>
    <x:row r="35" ht="15" hidden="0" customHeight="1">
      <x:c r="A35" s="5" t="s">
        <x:v>290</x:v>
      </x:c>
    </x:row>
    <x:row r="36" ht="15" hidden="0" customHeight="1">
      <x:c r="A36" s="22" t="s">
        <x:v>291</x:v>
      </x:c>
      <x:c r="B36" s="14" t="s">
        <x:v>292</x:v>
      </x:c>
      <x:c r="C36" s="14"/>
      <x:c r="D36" s="14"/>
      <x:c r="E36" s="14"/>
      <x:c r="F36" s="14"/>
      <x:c r="G36" s="14"/>
      <x:c r="H36" s="14"/>
      <x:c r="I36" s="14"/>
    </x:row>
    <x:row r="37" ht="30" hidden="0" customHeight="1">
      <x:c r="A37" s="22" t="s">
        <x:v>293</x:v>
      </x:c>
      <x:c r="B37" s="14" t="s">
        <x:v>294</x:v>
      </x:c>
      <x:c r="C37" s="14"/>
      <x:c r="D37" s="14"/>
      <x:c r="E37" s="14"/>
      <x:c r="F37" s="14"/>
      <x:c r="G37" s="14"/>
      <x:c r="H37" s="14"/>
      <x:c r="I37" s="14"/>
    </x:row>
    <x:row r="38" ht="15" hidden="0" customHeight="1">
      <x:c r="A38" s="22" t="s">
        <x:v>295</x:v>
      </x:c>
      <x:c r="B38" s="14" t="s">
        <x:v>296</x:v>
      </x:c>
      <x:c r="C38" s="14"/>
      <x:c r="D38" s="14"/>
      <x:c r="E38" s="14"/>
      <x:c r="F38" s="14"/>
      <x:c r="G38" s="14"/>
      <x:c r="H38" s="14"/>
      <x:c r="I38" s="14"/>
    </x:row>
    <x:row r="39" ht="15" hidden="0" customHeight="1">
      <x:c r="A39" s="22" t="s">
        <x:v>297</x:v>
      </x:c>
      <x:c r="B39" s="14" t="s">
        <x:v>298</x:v>
      </x:c>
      <x:c r="C39" s="14"/>
      <x:c r="D39" s="14"/>
      <x:c r="E39" s="14"/>
      <x:c r="F39" s="14"/>
      <x:c r="G39" s="14"/>
      <x:c r="H39" s="14"/>
      <x:c r="I39" s="14"/>
    </x:row>
    <x:row r="40" ht="15" hidden="0" customHeight="1">
      <x:c r="A40" s="22" t="s">
        <x:v>299</x:v>
      </x:c>
      <x:c r="B40" s="14" t="s">
        <x:v>300</x:v>
      </x:c>
      <x:c r="C40" s="14"/>
      <x:c r="D40" s="14"/>
      <x:c r="E40" s="14"/>
      <x:c r="F40" s="14"/>
      <x:c r="G40" s="14"/>
      <x:c r="H40" s="14"/>
      <x:c r="I40" s="14"/>
    </x:row>
  </x:sheetData>
  <x:mergeCells>
    <x:mergeCell ref="A33:I33"/>
    <x:mergeCell ref="A34:I34"/>
    <x:mergeCell ref="B36:I36"/>
    <x:mergeCell ref="B37:I37"/>
    <x:mergeCell ref="B38:I38"/>
    <x:mergeCell ref="B39:I39"/>
    <x:mergeCell ref="B40:I40"/>
  </x:mergeCells>
  <x:dataValidations count="2">
    <x:dataValidation type="list" errorStyle="stop" operator="between" allowBlank="1" showDropDown="0" showInputMessage="0" showErrorMessage="0" sqref="B6">
      <x:formula1>"Theo người dùng,Theo lượt dùng,Theo kết quả,Kết hợp (phí cố định + vượt hạn mức)"</x:formula1>
      <x:formula2>0</x:formula2>
    </x:dataValidation>
    <x:dataValidation type="decimal" errorStyle="stop" operator="between" allowBlank="1" showDropDown="0" showInputMessage="0" showErrorMessage="1" error="Nhập tỷ lệ từ 0% đến 90%." sqref="B27">
      <x:formula1>0</x:formula1>
      <x:formula2>0.9</x:formula2>
    </x:dataValidation>
  </x:dataValidations>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8.6796875" defaultRowHeight="15"/>
  <x:cols>
    <x:col min="1" max="1" width="44" style="1" hidden="0" customWidth="1"/>
    <x:col min="2" max="4" width="18" style="1" hidden="0" customWidth="1"/>
    <x:col min="5" max="5" width="14" style="1" hidden="0" customWidth="1"/>
    <x:col min="6" max="6" width="50" style="1" hidden="0" customWidth="1"/>
    <x:col min="7" max="7" width="56" style="1" hidden="0" customWidth="1"/>
  </x:cols>
  <x:sheetData>
    <x:row r="1" ht="17.25" hidden="0" customHeight="1">
      <x:c r="A1" s="2" t="s">
        <x:v>301</x:v>
      </x:c>
    </x:row>
    <x:row r="2" ht="15" hidden="0" customHeight="1">
      <x:c r="A2" s="9" t="s">
        <x:v>302</x:v>
      </x:c>
    </x:row>
    <x:row r="4" ht="15" hidden="0" customHeight="1">
      <x:c r="A4" s="15" t="s">
        <x:v>303</x:v>
      </x:c>
      <x:c r="B4" s="15" t="s">
        <x:v>304</x:v>
      </x:c>
      <x:c r="C4" s="15" t="s">
        <x:v>305</x:v>
      </x:c>
      <x:c r="D4" s="15" t="s">
        <x:v>306</x:v>
      </x:c>
      <x:c r="E4" s="15" t="s">
        <x:v>163</x:v>
      </x:c>
      <x:c r="F4" s="15" t="s">
        <x:v>164</x:v>
      </x:c>
      <x:c r="G4" s="15" t="s">
        <x:v>307</x:v>
      </x:c>
    </x:row>
    <x:row r="5" ht="31.5" hidden="0" customHeight="1">
      <x:c r="A5" s="66" t="s">
        <x:v>308</x:v>
      </x:c>
      <x:c r="B5" s="67" t="n">
        <x:v>1.1</x:v>
      </x:c>
      <x:c r="C5" s="67" t="n">
        <x:v>1</x:v>
      </x:c>
      <x:c r="D5" s="67" t="n">
        <x:v>0.8</x:v>
      </x:c>
      <x:c r="E5" s="41" t="s">
        <x:v>309</x:v>
      </x:c>
      <x:c r="F5" s="68" t="s">
        <x:v>310</x:v>
      </x:c>
      <x:c r="G5" s="43" t="s">
        <x:v>311</x:v>
      </x:c>
    </x:row>
    <x:row r="6" ht="31.5" hidden="0" customHeight="1">
      <x:c r="A6" s="66" t="s">
        <x:v>312</x:v>
      </x:c>
      <x:c r="B6" s="67" t="n">
        <x:v>0.9</x:v>
      </x:c>
      <x:c r="C6" s="67" t="n">
        <x:v>1</x:v>
      </x:c>
      <x:c r="D6" s="67" t="n">
        <x:v>1.2</x:v>
      </x:c>
      <x:c r="E6" s="41" t="s">
        <x:v>309</x:v>
      </x:c>
      <x:c r="F6" s="68" t="s">
        <x:v>313</x:v>
      </x:c>
      <x:c r="G6" s="43" t="s">
        <x:v>314</x:v>
      </x:c>
    </x:row>
    <x:row r="7" ht="31.5" hidden="0" customHeight="1">
      <x:c r="A7" s="66" t="s">
        <x:v>315</x:v>
      </x:c>
      <x:c r="B7" s="69" t="n">
        <x:v>40</x:v>
      </x:c>
      <x:c r="C7" s="69" t="n">
        <x:v>30</x:v>
      </x:c>
      <x:c r="D7" s="69" t="n">
        <x:v>15</x:v>
      </x:c>
      <x:c r="E7" s="41" t="s">
        <x:v>316</x:v>
      </x:c>
      <x:c r="F7" s="68" t="s">
        <x:v>317</x:v>
      </x:c>
      <x:c r="G7" s="43" t="s">
        <x:v>318</x:v>
      </x:c>
    </x:row>
    <x:row r="8" ht="46.5" hidden="0" customHeight="1">
      <x:c r="A8" s="66" t="s">
        <x:v>319</x:v>
      </x:c>
      <x:c r="B8" s="45" t="n">
        <x:v>0.08</x:v>
      </x:c>
      <x:c r="C8" s="45" t="n">
        <x:v>0.05</x:v>
      </x:c>
      <x:c r="D8" s="45" t="n">
        <x:v>0.02</x:v>
      </x:c>
      <x:c r="E8" s="41" t="s">
        <x:v>192</x:v>
      </x:c>
      <x:c r="F8" s="68" t="s">
        <x:v>320</x:v>
      </x:c>
      <x:c r="G8" s="43" t="s">
        <x:v>321</x:v>
      </x:c>
    </x:row>
    <x:row r="9" ht="30" hidden="0" customHeight="1">
      <x:c r="A9" s="66" t="s">
        <x:v>322</x:v>
      </x:c>
      <x:c r="B9" s="45" t="n">
        <x:v>0.03</x:v>
      </x:c>
      <x:c r="C9" s="45" t="n">
        <x:v>0.05</x:v>
      </x:c>
      <x:c r="D9" s="45" t="n">
        <x:v>0.08</x:v>
      </x:c>
      <x:c r="E9" s="41" t="s">
        <x:v>192</x:v>
      </x:c>
      <x:c r="F9" s="68" t="s">
        <x:v>323</x:v>
      </x:c>
      <x:c r="G9" s="43" t="s">
        <x:v>324</x:v>
      </x:c>
    </x:row>
    <x:row r="10" ht="31.5" hidden="0" customHeight="1">
      <x:c r="A10" s="66" t="s">
        <x:v>325</x:v>
      </x:c>
      <x:c r="B10" s="70" t="n">
        <x:v>1200000</x:v>
      </x:c>
      <x:c r="C10" s="70" t="n">
        <x:v>1500000</x:v>
      </x:c>
      <x:c r="D10" s="70" t="n">
        <x:v>2300000</x:v>
      </x:c>
      <x:c r="E10" s="41" t="s">
        <x:v>326</x:v>
      </x:c>
      <x:c r="F10" s="68" t="s">
        <x:v>327</x:v>
      </x:c>
      <x:c r="G10" s="43" t="s">
        <x:v>328</x:v>
      </x:c>
    </x:row>
    <x:row r="11" ht="46.5" hidden="0" customHeight="1">
      <x:c r="A11" s="66" t="s">
        <x:v>329</x:v>
      </x:c>
      <x:c r="B11" s="70" t="n">
        <x:v>150000000</x:v>
      </x:c>
      <x:c r="C11" s="70" t="n">
        <x:v>150000000</x:v>
      </x:c>
      <x:c r="D11" s="70" t="n">
        <x:v>150000000</x:v>
      </x:c>
      <x:c r="E11" s="41" t="s">
        <x:v>253</x:v>
      </x:c>
      <x:c r="F11" s="68" t="s">
        <x:v>330</x:v>
      </x:c>
      <x:c r="G11" s="49" t="s">
        <x:v>331</x:v>
      </x:c>
    </x:row>
    <x:row r="12" ht="76.5" hidden="0" customHeight="1">
      <x:c r="A12" s="11" t="s">
        <x:v>332</x:v>
      </x:c>
      <x:c r="B12" s="70" t="n">
        <x:v>600000000</x:v>
      </x:c>
      <x:c r="C12" s="70" t="n">
        <x:v>600000000</x:v>
      </x:c>
      <x:c r="D12" s="70" t="n">
        <x:v>600000000</x:v>
      </x:c>
      <x:c r="E12" s="41" t="s">
        <x:v>196</x:v>
      </x:c>
      <x:c r="F12" s="53" t="s">
        <x:v>333</x:v>
      </x:c>
      <x:c r="G12" s="49" t="s">
        <x:v>334</x:v>
      </x:c>
    </x:row>
    <x:row r="13" ht="31.5" hidden="0" customHeight="1">
      <x:c r="A13" s="66" t="s">
        <x:v>335</x:v>
      </x:c>
      <x:c r="B13" s="70" t="n">
        <x:v>2000000000</x:v>
      </x:c>
      <x:c r="C13" s="70" t="n">
        <x:v>2000000000</x:v>
      </x:c>
      <x:c r="D13" s="70" t="n">
        <x:v>2000000000</x:v>
      </x:c>
      <x:c r="E13" s="41" t="s">
        <x:v>196</x:v>
      </x:c>
      <x:c r="F13" s="68" t="s">
        <x:v>336</x:v>
      </x:c>
      <x:c r="G13" s="43" t="s">
        <x:v>337</x:v>
      </x:c>
    </x:row>
    <x:row r="14" ht="15.75" hidden="0" customHeight="1">
      <x:c r="A14" s="39" t="s">
        <x:v>338</x:v>
      </x:c>
      <x:c r="B14" s="45" t="n">
        <x:v>0.15</x:v>
      </x:c>
      <x:c r="C14" s="45" t="n">
        <x:v>0.15</x:v>
      </x:c>
      <x:c r="D14" s="45" t="n">
        <x:v>0.15</x:v>
      </x:c>
      <x:c r="E14" s="41" t="s">
        <x:v>192</x:v>
      </x:c>
      <x:c r="F14" s="71" t="s">
        <x:v>339</x:v>
      </x:c>
      <x:c r="G14" s="43" t="s">
        <x:v>340</x:v>
      </x:c>
    </x:row>
    <x:row r="16" ht="15" hidden="0" customHeight="1">
      <x:c r="A16" s="5" t="s">
        <x:v>341</x:v>
      </x:c>
    </x:row>
    <x:row r="17" ht="15" hidden="0" customHeight="1">
      <x:c r="A17" s="46" t="s">
        <x:v>342</x:v>
      </x:c>
      <x:c r="B17" s="47" t="n">
        <x:f aca="0">'2_Định giá'!D17*B5*(1-'2_Định giá'!$B$27)</x:f>
        <x:v>1217150</x:v>
      </x:c>
      <x:c r="C17" s="47" t="n">
        <x:f aca="0">'2_Định giá'!D17*C5*(1-'2_Định giá'!$B$27)</x:f>
        <x:v>1106500</x:v>
      </x:c>
      <x:c r="D17" s="47" t="n">
        <x:f aca="0">'2_Định giá'!D17*D5*(1-'2_Định giá'!$B$27)</x:f>
        <x:v>885200</x:v>
      </x:c>
    </x:row>
    <x:row r="18" ht="15" hidden="0" customHeight="1">
      <x:c r="A18" s="46" t="s">
        <x:v>343</x:v>
      </x:c>
      <x:c r="B18" s="47" t="n">
        <x:f aca="0">'2_Định giá'!E17*B6</x:f>
        <x:v>262185.552</x:v>
      </x:c>
      <x:c r="C18" s="47" t="n">
        <x:f aca="0">'2_Định giá'!E17*C6</x:f>
        <x:v>291317.28</x:v>
      </x:c>
      <x:c r="D18" s="47" t="n">
        <x:f aca="0">'2_Định giá'!E17*D6</x:f>
        <x:v>349580.736</x:v>
      </x:c>
    </x:row>
    <x:row r="19" ht="15" hidden="0" customHeight="1">
      <x:c r="A19" s="51" t="s">
        <x:v>344</x:v>
      </x:c>
    </x:row>
    <x:row r="20" ht="15" hidden="0" customHeight="1">
      <x:c r="A20" s="5" t="s">
        <x:v>345</x:v>
      </x:c>
    </x:row>
    <x:row r="21" ht="15" hidden="0" customHeight="1">
      <x:c r="A21" s="1" t="s">
        <x:v>346</x:v>
      </x:c>
      <x:c r="B21" s="61" t="str">
        <x:f aca="0">IF(C9=0,"Chưa điền",IF(D9&gt;=1.5*C9,"Đạt","Chưa đủ sốc"))</x:f>
        <x:v>Đạt</x:v>
      </x:c>
    </x:row>
    <x:row r="22" ht="15" hidden="0" customHeight="1">
      <x:c r="A22" s="1" t="s">
        <x:v>347</x:v>
      </x:c>
      <x:c r="B22" s="61" t="str">
        <x:f aca="0">IF(C10=0,"Chưa điền",IF(D10&gt;=1.5*C10,"Đạt","Chưa đủ sốc"))</x:f>
        <x:v>Đạt</x:v>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8.6796875" defaultRowHeight="15"/>
  <x:cols>
    <x:col min="1" max="1" width="40" style="1" hidden="0" customWidth="1"/>
    <x:col min="2" max="4" width="18" style="1" hidden="0" customWidth="1"/>
    <x:col min="5" max="5" width="20" style="1" hidden="0" customWidth="1"/>
  </x:cols>
  <x:sheetData>
    <x:row r="1" ht="17.25" hidden="0" customHeight="1">
      <x:c r="A1" s="2" t="s">
        <x:v>348</x:v>
      </x:c>
    </x:row>
    <x:row r="2" ht="15" hidden="0" customHeight="1">
      <x:c r="A2" s="9" t="s">
        <x:v>349</x:v>
      </x:c>
    </x:row>
    <x:row r="4" ht="15" hidden="0" customHeight="1">
      <x:c r="A4" s="15" t="s">
        <x:v>350</x:v>
      </x:c>
      <x:c r="B4" s="15" t="s">
        <x:v>304</x:v>
      </x:c>
      <x:c r="C4" s="15" t="s">
        <x:v>305</x:v>
      </x:c>
      <x:c r="D4" s="15" t="s">
        <x:v>306</x:v>
      </x:c>
      <x:c r="E4" s="15" t="s">
        <x:v>351</x:v>
      </x:c>
    </x:row>
    <x:row r="5" ht="15" hidden="0" customHeight="1">
      <x:c r="A5" s="46" t="s">
        <x:v>342</x:v>
      </x:c>
      <x:c r="B5" s="47" t="n">
        <x:f aca="0">'3_Giả định'!B17</x:f>
        <x:v>1217150</x:v>
      </x:c>
      <x:c r="C5" s="47" t="n">
        <x:f aca="0">'3_Giả định'!C17</x:f>
        <x:v>1106500</x:v>
      </x:c>
      <x:c r="D5" s="47" t="n">
        <x:f aca="0">'3_Giả định'!D17</x:f>
        <x:v>885200</x:v>
      </x:c>
    </x:row>
    <x:row r="6" ht="15" hidden="0" customHeight="1">
      <x:c r="A6" s="46" t="s">
        <x:v>352</x:v>
      </x:c>
      <x:c r="B6" s="47" t="n">
        <x:f aca="0">'3_Giả định'!B17-'3_Giả định'!B18</x:f>
        <x:v>954964.448</x:v>
      </x:c>
      <x:c r="C6" s="47" t="n">
        <x:f aca="0">'3_Giả định'!C17-'3_Giả định'!C18</x:f>
        <x:v>815182.72</x:v>
      </x:c>
      <x:c r="D6" s="47" t="n">
        <x:f aca="0">'3_Giả định'!D17-'3_Giả định'!D18</x:f>
        <x:v>535619.264</x:v>
      </x:c>
    </x:row>
    <x:row r="7" ht="15" hidden="0" customHeight="1">
      <x:c r="A7" s="46" t="s">
        <x:v>99</x:v>
      </x:c>
      <x:c r="B7" s="50" t="n">
        <x:f aca="0">IFERROR(B6/B5,0)</x:f>
        <x:v>0.784590599350943</x:v>
      </x:c>
      <x:c r="C7" s="50" t="n">
        <x:f aca="0">IFERROR(C6/C5,0)</x:f>
        <x:v>0.736721843651152</x:v>
      </x:c>
      <x:c r="D7" s="50" t="n">
        <x:f aca="0">IFERROR(D6/D5,0)</x:f>
        <x:v>0.605082765476728</x:v>
      </x:c>
      <x:c r="E7" s="1" t="s">
        <x:v>353</x:v>
      </x:c>
    </x:row>
    <x:row r="8" ht="15" hidden="0" customHeight="1">
      <x:c r="A8" s="46" t="s">
        <x:v>354</x:v>
      </x:c>
      <x:c r="B8" s="72" t="n">
        <x:f aca="0">IFERROR(1/'3_Giả định'!B9,0)</x:f>
        <x:v>33.3333333333333</x:v>
      </x:c>
      <x:c r="C8" s="72" t="n">
        <x:f aca="0">IFERROR(1/'3_Giả định'!C9,0)</x:f>
        <x:v>20</x:v>
      </x:c>
      <x:c r="D8" s="72" t="n">
        <x:f aca="0">IFERROR(1/'3_Giả định'!D9,0)</x:f>
        <x:v>12.5</x:v>
      </x:c>
    </x:row>
    <x:row r="9" ht="15" hidden="0" customHeight="1">
      <x:c r="A9" s="46" t="s">
        <x:v>355</x:v>
      </x:c>
      <x:c r="B9" s="47" t="n">
        <x:f aca="0">B6*B8</x:f>
        <x:v>31832148.2666667</x:v>
      </x:c>
      <x:c r="C9" s="47" t="n">
        <x:f aca="0">C6*C8</x:f>
        <x:v>16303654.4</x:v>
      </x:c>
      <x:c r="D9" s="47" t="n">
        <x:f aca="0">D6*D8</x:f>
        <x:v>6695240.8</x:v>
      </x:c>
    </x:row>
    <x:row r="10" ht="15" hidden="0" customHeight="1">
      <x:c r="A10" s="46" t="s">
        <x:v>356</x:v>
      </x:c>
      <x:c r="B10" s="47" t="n">
        <x:f aca="0">'3_Giả định'!B10</x:f>
        <x:v>1200000</x:v>
      </x:c>
      <x:c r="C10" s="47" t="n">
        <x:f aca="0">'3_Giả định'!C10</x:f>
        <x:v>1500000</x:v>
      </x:c>
      <x:c r="D10" s="47" t="n">
        <x:f aca="0">'3_Giả định'!D10</x:f>
        <x:v>2300000</x:v>
      </x:c>
    </x:row>
    <x:row r="11" ht="15" hidden="0" customHeight="1">
      <x:c r="A11" s="46" t="s">
        <x:v>357</x:v>
      </x:c>
      <x:c r="B11" s="73" t="n">
        <x:f aca="0">IFERROR(B9/B10,0)</x:f>
        <x:v>26.5267902222222</x:v>
      </x:c>
      <x:c r="C11" s="73" t="n">
        <x:f aca="0">IFERROR(C9/C10,0)</x:f>
        <x:v>10.8691029333333</x:v>
      </x:c>
      <x:c r="D11" s="73" t="n">
        <x:f aca="0">IFERROR(D9/D10,0)</x:f>
        <x:v>2.91097426086957</x:v>
      </x:c>
      <x:c r="E11" s="4" t="s">
        <x:v>358</x:v>
      </x:c>
    </x:row>
    <x:row r="12" ht="15" hidden="0" customHeight="1">
      <x:c r="A12" s="46" t="s">
        <x:v>359</x:v>
      </x:c>
      <x:c r="B12" s="72" t="n">
        <x:f aca="0">IFERROR(B10/B6,0)</x:f>
        <x:v>1.25659128202435</x:v>
      </x:c>
      <x:c r="C12" s="72" t="n">
        <x:f aca="0">IFERROR(C10/C6,0)</x:f>
        <x:v>1.84007825877369</x:v>
      </x:c>
      <x:c r="D12" s="72" t="n">
        <x:f aca="0">IFERROR(D10/D6,0)</x:f>
        <x:v>4.29409499356618</x:v>
      </x:c>
      <x:c r="E12" s="1" t="s">
        <x:v>360</x:v>
      </x:c>
    </x:row>
    <x:row r="13" ht="15" hidden="0" customHeight="1">
      <x:c r="A13" s="46" t="s">
        <x:v>361</x:v>
      </x:c>
      <x:c r="B13" s="74" t="str">
        <x:f aca="0">IF(B5&lt;=0,"Chưa điền trang 2–3",IF(B6&lt;=0,"Lỗ trên từng khách",IF(AND(B11&gt;3,B12&lt;12,B7&gt;=0.6),"Khỏe",IF(B11&gt;=1,"Cần cải thiện","Đốt tiền"))))</x:f>
        <x:v>Khỏe</x:v>
      </x:c>
      <x:c r="C13" s="74" t="str">
        <x:f aca="0">IF(C5&lt;=0,"Chưa điền trang 2–3",IF(C6&lt;=0,"Lỗ trên từng khách",IF(AND(C11&gt;3,C12&lt;12,C7&gt;=0.6),"Khỏe",IF(C11&gt;=1,"Cần cải thiện","Đốt tiền"))))</x:f>
        <x:v>Khỏe</x:v>
      </x:c>
      <x:c r="D13" s="74" t="str">
        <x:f aca="0">IF(D5&lt;=0,"Chưa điền trang 2–3",IF(D6&lt;=0,"Lỗ trên từng khách",IF(AND(D11&gt;3,D12&lt;12,D7&gt;=0.6),"Khỏe",IF(D11&gt;=1,"Cần cải thiện","Đốt tiền"))))</x:f>
        <x:v>Cần cải thiện</x:v>
      </x:c>
    </x:row>
  </x:sheetData>
  <x:pageMargins left="0.7" right="0.7" top="0.75" bottom="0.75" header="0.3" footer="0.3"/>
</x:worksheet>
</file>

<file path=xl/worksheets/sheet8.xml><?xml version="1.0" encoding="utf-8"?>
<x:worksheet xmlns:x="http://schemas.openxmlformats.org/spreadsheetml/2006/main">
  <x:sheetViews>
    <x:sheetView showGridLines="1" workbookViewId="0">
      <x:pane xSplit="1" ySplit="4" topLeftCell="B5" activePane="bottomRight" state="frozen"/>
    </x:sheetView>
  </x:sheetViews>
  <x:sheetFormatPr defaultColWidth="8.6796875" defaultRowHeight="15"/>
  <x:cols>
    <x:col min="1" max="1" width="38" style="1" hidden="0" customWidth="1"/>
    <x:col min="2" max="26" width="18" style="1" hidden="0" customWidth="1"/>
  </x:cols>
  <x:sheetData>
    <x:row r="1" ht="17.25" hidden="0" customHeight="1">
      <x:c r="A1" s="2" t="s">
        <x:v>362</x:v>
      </x:c>
    </x:row>
    <x:row r="2" ht="15" hidden="0" customHeight="1">
      <x:c r="A2" s="9" t="s">
        <x:v>363</x:v>
      </x:c>
    </x:row>
    <x:row r="4" ht="15" hidden="0" customHeight="1">
      <x:c r="A4" s="15" t="s">
        <x:v>364</x:v>
      </x:c>
      <x:c r="B4" s="15" t="s">
        <x:v>365</x:v>
      </x:c>
      <x:c r="C4" s="15" t="s">
        <x:v>366</x:v>
      </x:c>
      <x:c r="D4" s="15" t="s">
        <x:v>367</x:v>
      </x:c>
      <x:c r="E4" s="15" t="s">
        <x:v>368</x:v>
      </x:c>
      <x:c r="F4" s="15" t="s">
        <x:v>369</x:v>
      </x:c>
      <x:c r="G4" s="15" t="s">
        <x:v>370</x:v>
      </x:c>
      <x:c r="H4" s="15" t="s">
        <x:v>371</x:v>
      </x:c>
      <x:c r="I4" s="15" t="s">
        <x:v>372</x:v>
      </x:c>
      <x:c r="J4" s="15" t="s">
        <x:v>373</x:v>
      </x:c>
      <x:c r="K4" s="15" t="s">
        <x:v>374</x:v>
      </x:c>
      <x:c r="L4" s="15" t="s">
        <x:v>375</x:v>
      </x:c>
      <x:c r="M4" s="15" t="s">
        <x:v>376</x:v>
      </x:c>
      <x:c r="N4" s="15" t="s">
        <x:v>377</x:v>
      </x:c>
      <x:c r="O4" s="15" t="s">
        <x:v>378</x:v>
      </x:c>
      <x:c r="P4" s="15" t="s">
        <x:v>379</x:v>
      </x:c>
      <x:c r="Q4" s="15" t="s">
        <x:v>380</x:v>
      </x:c>
      <x:c r="R4" s="15" t="s">
        <x:v>381</x:v>
      </x:c>
      <x:c r="S4" s="15" t="s">
        <x:v>382</x:v>
      </x:c>
      <x:c r="T4" s="15" t="s">
        <x:v>383</x:v>
      </x:c>
      <x:c r="U4" s="15" t="s">
        <x:v>384</x:v>
      </x:c>
      <x:c r="V4" s="15" t="s">
        <x:v>385</x:v>
      </x:c>
      <x:c r="W4" s="15" t="s">
        <x:v>386</x:v>
      </x:c>
      <x:c r="X4" s="15" t="s">
        <x:v>387</x:v>
      </x:c>
      <x:c r="Y4" s="15" t="s">
        <x:v>388</x:v>
      </x:c>
      <x:c r="Z4" s="15" t="s">
        <x:v>389</x:v>
      </x:c>
    </x:row>
    <x:row r="5" ht="15" hidden="0" customHeight="1">
      <x:c r="A5" s="75" t="s">
        <x:v>390</x:v>
      </x:c>
    </x:row>
    <x:row r="6" ht="15" hidden="0" customHeight="1">
      <x:c r="A6" s="46" t="s">
        <x:v>391</x:v>
      </x:c>
      <x:c r="C6" s="76" t="n">
        <x:f aca="0">'3_Giả định'!$B$7*(1+'3_Giả định'!$B$8)^0</x:f>
        <x:v>40</x:v>
      </x:c>
      <x:c r="D6" s="76" t="n">
        <x:f aca="0">'3_Giả định'!$B$7*(1+'3_Giả định'!$B$8)^1</x:f>
        <x:v>43.2</x:v>
      </x:c>
      <x:c r="E6" s="76" t="n">
        <x:f aca="0">'3_Giả định'!$B$7*(1+'3_Giả định'!$B$8)^2</x:f>
        <x:v>46.656</x:v>
      </x:c>
      <x:c r="F6" s="76" t="n">
        <x:f aca="0">'3_Giả định'!$B$7*(1+'3_Giả định'!$B$8)^3</x:f>
        <x:v>50.38848</x:v>
      </x:c>
      <x:c r="G6" s="76" t="n">
        <x:f aca="0">'3_Giả định'!$B$7*(1+'3_Giả định'!$B$8)^4</x:f>
        <x:v>54.4195584</x:v>
      </x:c>
      <x:c r="H6" s="76" t="n">
        <x:f aca="0">'3_Giả định'!$B$7*(1+'3_Giả định'!$B$8)^5</x:f>
        <x:v>58.773123072</x:v>
      </x:c>
      <x:c r="I6" s="76" t="n">
        <x:f aca="0">'3_Giả định'!$B$7*(1+'3_Giả định'!$B$8)^6</x:f>
        <x:v>63.47497291776</x:v>
      </x:c>
      <x:c r="J6" s="76" t="n">
        <x:f aca="0">'3_Giả định'!$B$7*(1+'3_Giả định'!$B$8)^7</x:f>
        <x:v>68.5529707511808</x:v>
      </x:c>
      <x:c r="K6" s="76" t="n">
        <x:f aca="0">'3_Giả định'!$B$7*(1+'3_Giả định'!$B$8)^8</x:f>
        <x:v>74.0372084112753</x:v>
      </x:c>
      <x:c r="L6" s="76" t="n">
        <x:f aca="0">'3_Giả định'!$B$7*(1+'3_Giả định'!$B$8)^9</x:f>
        <x:v>79.9601850841773</x:v>
      </x:c>
      <x:c r="M6" s="76" t="n">
        <x:f aca="0">'3_Giả định'!$B$7*(1+'3_Giả định'!$B$8)^10</x:f>
        <x:v>86.3569998909115</x:v>
      </x:c>
      <x:c r="N6" s="76" t="n">
        <x:f aca="0">'3_Giả định'!$B$7*(1+'3_Giả định'!$B$8)^11</x:f>
        <x:v>93.2655598821845</x:v>
      </x:c>
      <x:c r="O6" s="76" t="n">
        <x:f aca="0">'3_Giả định'!$B$7*(1+'3_Giả định'!$B$8)^12</x:f>
        <x:v>100.726804672759</x:v>
      </x:c>
      <x:c r="P6" s="76" t="n">
        <x:f aca="0">'3_Giả định'!$B$7*(1+'3_Giả định'!$B$8)^13</x:f>
        <x:v>108.78494904658</x:v>
      </x:c>
      <x:c r="Q6" s="76" t="n">
        <x:f aca="0">'3_Giả định'!$B$7*(1+'3_Giả định'!$B$8)^14</x:f>
        <x:v>117.487744970306</x:v>
      </x:c>
      <x:c r="R6" s="76" t="n">
        <x:f aca="0">'3_Giả định'!$B$7*(1+'3_Giả định'!$B$8)^15</x:f>
        <x:v>126.886764567931</x:v>
      </x:c>
      <x:c r="S6" s="76" t="n">
        <x:f aca="0">'3_Giả định'!$B$7*(1+'3_Giả định'!$B$8)^16</x:f>
        <x:v>137.037705733365</x:v>
      </x:c>
      <x:c r="T6" s="76" t="n">
        <x:f aca="0">'3_Giả định'!$B$7*(1+'3_Giả định'!$B$8)^17</x:f>
        <x:v>148.000722192035</x:v>
      </x:c>
      <x:c r="U6" s="76" t="n">
        <x:f aca="0">'3_Giả định'!$B$7*(1+'3_Giả định'!$B$8)^18</x:f>
        <x:v>159.840779967397</x:v>
      </x:c>
      <x:c r="V6" s="76" t="n">
        <x:f aca="0">'3_Giả định'!$B$7*(1+'3_Giả định'!$B$8)^19</x:f>
        <x:v>172.628042364789</x:v>
      </x:c>
      <x:c r="W6" s="76" t="n">
        <x:f aca="0">'3_Giả định'!$B$7*(1+'3_Giả định'!$B$8)^20</x:f>
        <x:v>186.438285753972</x:v>
      </x:c>
      <x:c r="X6" s="76" t="n">
        <x:f aca="0">'3_Giả định'!$B$7*(1+'3_Giả định'!$B$8)^21</x:f>
        <x:v>201.35334861429</x:v>
      </x:c>
      <x:c r="Y6" s="76" t="n">
        <x:f aca="0">'3_Giả định'!$B$7*(1+'3_Giả định'!$B$8)^22</x:f>
        <x:v>217.461616503433</x:v>
      </x:c>
      <x:c r="Z6" s="76" t="n">
        <x:f aca="0">'3_Giả định'!$B$7*(1+'3_Giả định'!$B$8)^23</x:f>
        <x:v>234.858545823708</x:v>
      </x:c>
    </x:row>
    <x:row r="7" ht="15" hidden="0" customHeight="1">
      <x:c r="A7" s="46" t="s">
        <x:v>392</x:v>
      </x:c>
      <x:c r="B7" s="1" t="n">
        <x:v>0</x:v>
      </x:c>
      <x:c r="C7" s="76" t="n">
        <x:f aca="0">B7*(1-'3_Giả định'!$B$9)+C6</x:f>
        <x:v>40</x:v>
      </x:c>
      <x:c r="D7" s="76" t="n">
        <x:f aca="0">C7*(1-'3_Giả định'!$B$9)+D6</x:f>
        <x:v>82</x:v>
      </x:c>
      <x:c r="E7" s="76" t="n">
        <x:f aca="0">D7*(1-'3_Giả định'!$B$9)+E6</x:f>
        <x:v>126.196</x:v>
      </x:c>
      <x:c r="F7" s="76" t="n">
        <x:f aca="0">E7*(1-'3_Giả định'!$B$9)+F6</x:f>
        <x:v>172.7986</x:v>
      </x:c>
      <x:c r="G7" s="76" t="n">
        <x:f aca="0">F7*(1-'3_Giả định'!$B$9)+G6</x:f>
        <x:v>222.0342004</x:v>
      </x:c>
      <x:c r="H7" s="76" t="n">
        <x:f aca="0">G7*(1-'3_Giả định'!$B$9)+H6</x:f>
        <x:v>274.14629746</x:v>
      </x:c>
      <x:c r="I7" s="76" t="n">
        <x:f aca="0">H7*(1-'3_Giả định'!$B$9)+I6</x:f>
        <x:v>329.39688145396</x:v>
      </x:c>
      <x:c r="J7" s="76" t="n">
        <x:f aca="0">I7*(1-'3_Giả định'!$B$9)+J6</x:f>
        <x:v>388.067945761522</x:v>
      </x:c>
      <x:c r="K7" s="76" t="n">
        <x:f aca="0">J7*(1-'3_Giả định'!$B$9)+K6</x:f>
        <x:v>450.463115799952</x:v>
      </x:c>
      <x:c r="L7" s="76" t="n">
        <x:f aca="0">K7*(1-'3_Giả định'!$B$9)+L6</x:f>
        <x:v>516.90940741013</x:v>
      </x:c>
      <x:c r="M7" s="76" t="n">
        <x:f aca="0">L7*(1-'3_Giả định'!$B$9)+M6</x:f>
        <x:v>587.759125078738</x:v>
      </x:c>
      <x:c r="N7" s="76" t="n">
        <x:f aca="0">M7*(1-'3_Giả định'!$B$9)+N6</x:f>
        <x:v>663.39191120856</x:v>
      </x:c>
      <x:c r="O7" s="76" t="n">
        <x:f aca="0">N7*(1-'3_Giả định'!$B$9)+O6</x:f>
        <x:v>744.216958545063</x:v>
      </x:c>
      <x:c r="P7" s="76" t="n">
        <x:f aca="0">O7*(1-'3_Giả định'!$B$9)+P6</x:f>
        <x:v>830.675398835291</x:v>
      </x:c>
      <x:c r="Q7" s="76" t="n">
        <x:f aca="0">P7*(1-'3_Giả định'!$B$9)+Q6</x:f>
        <x:v>923.242881840538</x:v>
      </x:c>
      <x:c r="R7" s="76" t="n">
        <x:f aca="0">Q7*(1-'3_Giả định'!$B$9)+R6</x:f>
        <x:v>1022.43235995325</x:v>
      </x:c>
      <x:c r="S7" s="76" t="n">
        <x:f aca="0">R7*(1-'3_Giả định'!$B$9)+S6</x:f>
        <x:v>1128.79709488802</x:v>
      </x:c>
      <x:c r="T7" s="76" t="n">
        <x:f aca="0">S7*(1-'3_Giả định'!$B$9)+T6</x:f>
        <x:v>1242.93390423341</x:v>
      </x:c>
      <x:c r="U7" s="76" t="n">
        <x:f aca="0">T7*(1-'3_Giả định'!$B$9)+U6</x:f>
        <x:v>1365.48666707381</x:v>
      </x:c>
      <x:c r="V7" s="76" t="n">
        <x:f aca="0">U7*(1-'3_Giả định'!$B$9)+V6</x:f>
        <x:v>1497.15010942638</x:v>
      </x:c>
      <x:c r="W7" s="76" t="n">
        <x:f aca="0">V7*(1-'3_Giả định'!$B$9)+W6</x:f>
        <x:v>1638.67389189757</x:v>
      </x:c>
      <x:c r="X7" s="76" t="n">
        <x:f aca="0">W7*(1-'3_Giả định'!$B$9)+X6</x:f>
        <x:v>1790.86702375493</x:v>
      </x:c>
      <x:c r="Y7" s="76" t="n">
        <x:f aca="0">X7*(1-'3_Giả định'!$B$9)+Y6</x:f>
        <x:v>1954.60262954571</x:v>
      </x:c>
      <x:c r="Z7" s="76" t="n">
        <x:f aca="0">Y7*(1-'3_Giả định'!$B$9)+Z6</x:f>
        <x:v>2130.82309648305</x:v>
      </x:c>
    </x:row>
    <x:row r="8" ht="15" hidden="0" customHeight="1">
      <x:c r="A8" s="46" t="s">
        <x:v>89</x:v>
      </x:c>
      <x:c r="C8" s="77" t="n">
        <x:f aca="0">C7*'3_Giả định'!$B$17</x:f>
        <x:v>48686000</x:v>
      </x:c>
      <x:c r="D8" s="77" t="n">
        <x:f aca="0">D7*'3_Giả định'!$B$17</x:f>
        <x:v>99806300</x:v>
      </x:c>
      <x:c r="E8" s="77" t="n">
        <x:f aca="0">E7*'3_Giả định'!$B$17</x:f>
        <x:v>153599461.4</x:v>
      </x:c>
      <x:c r="F8" s="77" t="n">
        <x:f aca="0">F7*'3_Giả định'!$B$17</x:f>
        <x:v>210321815.99</x:v>
      </x:c>
      <x:c r="G8" s="77" t="n">
        <x:f aca="0">G7*'3_Giả định'!$B$17</x:f>
        <x:v>270248927.01686</x:v>
      </x:c>
      <x:c r="H8" s="77" t="n">
        <x:f aca="0">H7*'3_Giả định'!$B$17</x:f>
        <x:v>333677165.953439</x:v>
      </x:c>
      <x:c r="I8" s="77" t="n">
        <x:f aca="0">I7*'3_Giả định'!$B$17</x:f>
        <x:v>400925414.261687</x:v>
      </x:c>
      <x:c r="J8" s="77" t="n">
        <x:f aca="0">J7*'3_Giả định'!$B$17</x:f>
        <x:v>472336900.183637</x:v>
      </x:c>
      <x:c r="K8" s="77" t="n">
        <x:f aca="0">K7*'3_Giả định'!$B$17</x:f>
        <x:v>548281181.395911</x:v>
      </x:c>
      <x:c r="L8" s="77" t="n">
        <x:f aca="0">L7*'3_Giả định'!$B$17</x:f>
        <x:v>629156285.22924</x:v>
      </x:c>
      <x:c r="M8" s="77" t="n">
        <x:f aca="0">M7*'3_Giả định'!$B$17</x:f>
        <x:v>715391019.089586</x:v>
      </x:c>
      <x:c r="N8" s="77" t="n">
        <x:f aca="0">N7*'3_Giả định'!$B$17</x:f>
        <x:v>807447464.727499</x:v>
      </x:c>
      <x:c r="O8" s="77" t="n">
        <x:f aca="0">O7*'3_Giả định'!$B$17</x:f>
        <x:v>905823671.093123</x:v>
      </x:c>
      <x:c r="P8" s="77" t="n">
        <x:f aca="0">P7*'3_Giả định'!$B$17</x:f>
        <x:v>1011056561.69237</x:v>
      </x:c>
      <x:c r="Q8" s="77" t="n">
        <x:f aca="0">Q7*'3_Giả định'!$B$17</x:f>
        <x:v>1123725073.63221</x:v>
      </x:c>
      <x:c r="R8" s="77" t="n">
        <x:f aca="0">R7*'3_Giả định'!$B$17</x:f>
        <x:v>1244453546.9171</x:v>
      </x:c>
      <x:c r="S8" s="77" t="n">
        <x:f aca="0">S7*'3_Giả định'!$B$17</x:f>
        <x:v>1373915384.04295</x:v>
      </x:c>
      <x:c r="T8" s="77" t="n">
        <x:f aca="0">T7*'3_Giả định'!$B$17</x:f>
        <x:v>1512837001.5377</x:v>
      </x:c>
      <x:c r="U8" s="77" t="n">
        <x:f aca="0">U7*'3_Giả định'!$B$17</x:f>
        <x:v>1662002096.82889</x:v>
      </x:c>
      <x:c r="V8" s="77" t="n">
        <x:f aca="0">V7*'3_Giả định'!$B$17</x:f>
        <x:v>1822256255.68832</x:v>
      </x:c>
      <x:c r="W8" s="77" t="n">
        <x:f aca="0">W7*'3_Giả định'!$B$17</x:f>
        <x:v>1994511927.52312</x:v>
      </x:c>
      <x:c r="X8" s="77" t="n">
        <x:f aca="0">X7*'3_Giả định'!$B$17</x:f>
        <x:v>2179753797.96331</x:v>
      </x:c>
      <x:c r="Y8" s="77" t="n">
        <x:f aca="0">Y7*'3_Giả định'!$B$17</x:f>
        <x:v>2379044590.55157</x:v>
      </x:c>
      <x:c r="Z8" s="77" t="n">
        <x:f aca="0">Z7*'3_Giả định'!$B$17</x:f>
        <x:v>2593531331.88435</x:v>
      </x:c>
    </x:row>
    <x:row r="9" ht="15" hidden="0" customHeight="1">
      <x:c r="A9" s="46" t="s">
        <x:v>393</x:v>
      </x:c>
      <x:c r="C9" s="77" t="n">
        <x:f aca="0">C7*'3_Giả định'!$B$18</x:f>
        <x:v>10487422.08</x:v>
      </x:c>
      <x:c r="D9" s="77" t="n">
        <x:f aca="0">D7*'3_Giả định'!$B$18</x:f>
        <x:v>21499215.264</x:v>
      </x:c>
      <x:c r="E9" s="77" t="n">
        <x:f aca="0">E7*'3_Giả định'!$B$18</x:f>
        <x:v>33086767.920192</x:v>
      </x:c>
      <x:c r="F9" s="77" t="n">
        <x:f aca="0">F7*'3_Giả định'!$B$18</x:f>
        <x:v>45305296.3258272</x:v>
      </x:c>
      <x:c r="G9" s="77" t="n">
        <x:f aca="0">G7*'3_Giả định'!$B$18</x:f>
        <x:v>58214159.3947526</x:v>
      </x:c>
      <x:c r="H9" s="77" t="n">
        <x:f aca="0">H7*'3_Giả định'!$B$18</x:f>
        <x:v>71877198.3283063</x:v>
      </x:c>
      <x:c r="I9" s="77" t="n">
        <x:f aca="0">I7*'3_Giả định'!$B$18</x:f>
        <x:v>86363103.191085</x:v>
      </x:c>
      <x:c r="J9" s="77" t="n">
        <x:f aca="0">J7*'3_Giả định'!$B$18</x:f>
        <x:v>101745808.572991</x:v>
      </x:c>
      <x:c r="K9" s="77" t="n">
        <x:f aca="0">K7*'3_Giả định'!$B$18</x:f>
        <x:v>118104920.67165</x:v>
      </x:c>
      <x:c r="L9" s="77" t="n">
        <x:f aca="0">L7*'3_Giả định'!$B$18</x:f>
        <x:v>135526178.315818</x:v>
      </x:c>
      <x:c r="M9" s="77" t="n">
        <x:f aca="0">M7*'3_Giả định'!$B$18</x:f>
        <x:v>154101950.651806</x:v>
      </x:c>
      <x:c r="N9" s="77" t="n">
        <x:f aca="0">N7*'3_Giả định'!$B$18</x:f>
        <x:v>173931774.432551</x:v>
      </x:c>
      <x:c r="O9" s="77" t="n">
        <x:f aca="0">O7*'3_Giả định'!$B$18</x:f>
        <x:v>195122934.083898</x:v>
      </x:c>
      <x:c r="P9" s="77" t="n">
        <x:f aca="0">P7*'3_Giả định'!$B$18</x:f>
        <x:v>217791087.976451</x:v>
      </x:c>
      <x:c r="Q9" s="77" t="n">
        <x:f aca="0">Q7*'3_Giả định'!$B$18</x:f>
        <x:v>242060944.605432</x:v>
      </x:c>
      <x:c r="R9" s="77" t="n">
        <x:f aca="0">R7*'3_Giả định'!$B$18</x:f>
        <x:v>268066992.677006</x:v>
      </x:c>
      <x:c r="S9" s="77" t="n">
        <x:f aca="0">S7*'3_Giả định'!$B$18</x:f>
        <x:v>295954289.419212</x:v>
      </x:c>
      <x:c r="T9" s="77" t="n">
        <x:f aca="0">T7*'3_Giả định'!$B$18</x:f>
        <x:v>325879311.780953</x:v>
      </x:c>
      <x:c r="U9" s="77" t="n">
        <x:f aca="0">U7*'3_Giả định'!$B$18</x:f>
        <x:v>358010875.555387</x:v>
      </x:c>
      <x:c r="V9" s="77" t="n">
        <x:f aca="0">V7*'3_Giả định'!$B$18</x:f>
        <x:v>392531127.866817</x:v>
      </x:c>
      <x:c r="W9" s="77" t="n">
        <x:f aca="0">W7*'3_Giả định'!$B$18</x:f>
        <x:v>429636618.895151</x:v>
      </x:c>
      <x:c r="X9" s="77" t="n">
        <x:f aca="0">X7*'3_Giả định'!$B$18</x:f>
        <x:v>469539459.181783</x:v>
      </x:c>
      <x:c r="Y9" s="77" t="n">
        <x:f aca="0">Y7*'3_Giả định'!$B$18</x:f>
        <x:v>512468569.368094</x:v>
      </x:c>
      <x:c r="Z9" s="77" t="n">
        <x:f aca="0">Z7*'3_Giả định'!$B$18</x:f>
        <x:v>558671029.765758</x:v>
      </x:c>
    </x:row>
    <x:row r="10" ht="15" hidden="0" customHeight="1">
      <x:c r="A10" s="46" t="s">
        <x:v>91</x:v>
      </x:c>
      <x:c r="C10" s="77" t="n">
        <x:f aca="0">C8-C9</x:f>
        <x:v>38198577.92</x:v>
      </x:c>
      <x:c r="D10" s="77" t="n">
        <x:f aca="0">D8-D9</x:f>
        <x:v>78307084.736</x:v>
      </x:c>
      <x:c r="E10" s="77" t="n">
        <x:f aca="0">E8-E9</x:f>
        <x:v>120512693.479808</x:v>
      </x:c>
      <x:c r="F10" s="77" t="n">
        <x:f aca="0">F8-F9</x:f>
        <x:v>165016519.664173</x:v>
      </x:c>
      <x:c r="G10" s="77" t="n">
        <x:f aca="0">G8-G9</x:f>
        <x:v>212034767.622107</x:v>
      </x:c>
      <x:c r="H10" s="77" t="n">
        <x:f aca="0">H8-H9</x:f>
        <x:v>261799967.625133</x:v>
      </x:c>
      <x:c r="I10" s="77" t="n">
        <x:f aca="0">I8-I9</x:f>
        <x:v>314562311.070602</x:v>
      </x:c>
      <x:c r="J10" s="77" t="n">
        <x:f aca="0">J8-J9</x:f>
        <x:v>370591091.610646</x:v>
      </x:c>
      <x:c r="K10" s="77" t="n">
        <x:f aca="0">K8-K9</x:f>
        <x:v>430176260.724261</x:v>
      </x:c>
      <x:c r="L10" s="77" t="n">
        <x:f aca="0">L8-L9</x:f>
        <x:v>493630106.913422</x:v>
      </x:c>
      <x:c r="M10" s="77" t="n">
        <x:f aca="0">M8-M9</x:f>
        <x:v>561289068.43778</x:v>
      </x:c>
      <x:c r="N10" s="77" t="n">
        <x:f aca="0">N8-N9</x:f>
        <x:v>633515690.294948</x:v>
      </x:c>
      <x:c r="O10" s="77" t="n">
        <x:f aca="0">O8-O9</x:f>
        <x:v>710700737.009225</x:v>
      </x:c>
      <x:c r="P10" s="77" t="n">
        <x:f aca="0">P8-P9</x:f>
        <x:v>793265473.715923</x:v>
      </x:c>
      <x:c r="Q10" s="77" t="n">
        <x:f aca="0">Q8-Q9</x:f>
        <x:v>881664129.026779</x:v>
      </x:c>
      <x:c r="R10" s="77" t="n">
        <x:f aca="0">R8-R9</x:f>
        <x:v>976386554.240096</x:v>
      </x:c>
      <x:c r="S10" s="77" t="n">
        <x:f aca="0">S8-S9</x:f>
        <x:v>1077961094.62374</x:v>
      </x:c>
      <x:c r="T10" s="77" t="n">
        <x:f aca="0">T8-T9</x:f>
        <x:v>1186957689.75675</x:v>
      </x:c>
      <x:c r="U10" s="77" t="n">
        <x:f aca="0">U8-U9</x:f>
        <x:v>1303991221.2735</x:v>
      </x:c>
      <x:c r="V10" s="77" t="n">
        <x:f aca="0">V8-V9</x:f>
        <x:v>1429725127.82151</x:v>
      </x:c>
      <x:c r="W10" s="77" t="n">
        <x:f aca="0">W8-W9</x:f>
        <x:v>1564875308.62797</x:v>
      </x:c>
      <x:c r="X10" s="77" t="n">
        <x:f aca="0">X8-X9</x:f>
        <x:v>1710214338.78153</x:v>
      </x:c>
      <x:c r="Y10" s="77" t="n">
        <x:f aca="0">Y8-Y9</x:f>
        <x:v>1866576021.18347</x:v>
      </x:c>
      <x:c r="Z10" s="77" t="n">
        <x:f aca="0">Z8-Z9</x:f>
        <x:v>2034860302.11859</x:v>
      </x:c>
    </x:row>
    <x:row r="11" ht="15" hidden="0" customHeight="1">
      <x:c r="A11" s="46" t="s">
        <x:v>394</x:v>
      </x:c>
      <x:c r="C11" s="77" t="n">
        <x:f aca="0">C6*'3_Giả định'!$B$10</x:f>
        <x:v>48000000</x:v>
      </x:c>
      <x:c r="D11" s="77" t="n">
        <x:f aca="0">D6*'3_Giả định'!$B$10</x:f>
        <x:v>51840000</x:v>
      </x:c>
      <x:c r="E11" s="77" t="n">
        <x:f aca="0">E6*'3_Giả định'!$B$10</x:f>
        <x:v>55987200</x:v>
      </x:c>
      <x:c r="F11" s="77" t="n">
        <x:f aca="0">F6*'3_Giả định'!$B$10</x:f>
        <x:v>60466176</x:v>
      </x:c>
      <x:c r="G11" s="77" t="n">
        <x:f aca="0">G6*'3_Giả định'!$B$10</x:f>
        <x:v>65303470.08</x:v>
      </x:c>
      <x:c r="H11" s="77" t="n">
        <x:f aca="0">H6*'3_Giả định'!$B$10</x:f>
        <x:v>70527747.6864</x:v>
      </x:c>
      <x:c r="I11" s="77" t="n">
        <x:f aca="0">I6*'3_Giả định'!$B$10</x:f>
        <x:v>76169967.501312</x:v>
      </x:c>
      <x:c r="J11" s="77" t="n">
        <x:f aca="0">J6*'3_Giả định'!$B$10</x:f>
        <x:v>82263564.901417</x:v>
      </x:c>
      <x:c r="K11" s="77" t="n">
        <x:f aca="0">K6*'3_Giả định'!$B$10</x:f>
        <x:v>88844650.0935304</x:v>
      </x:c>
      <x:c r="L11" s="77" t="n">
        <x:f aca="0">L6*'3_Giả định'!$B$10</x:f>
        <x:v>95952222.1010128</x:v>
      </x:c>
      <x:c r="M11" s="77" t="n">
        <x:f aca="0">M6*'3_Giả định'!$B$10</x:f>
        <x:v>103628399.869094</x:v>
      </x:c>
      <x:c r="N11" s="77" t="n">
        <x:f aca="0">N6*'3_Giả định'!$B$10</x:f>
        <x:v>111918671.858621</x:v>
      </x:c>
      <x:c r="O11" s="77" t="n">
        <x:f aca="0">O6*'3_Giả định'!$B$10</x:f>
        <x:v>120872165.607311</x:v>
      </x:c>
      <x:c r="P11" s="77" t="n">
        <x:f aca="0">P6*'3_Giả định'!$B$10</x:f>
        <x:v>130541938.855896</x:v>
      </x:c>
      <x:c r="Q11" s="77" t="n">
        <x:f aca="0">Q6*'3_Giả định'!$B$10</x:f>
        <x:v>140985293.964368</x:v>
      </x:c>
      <x:c r="R11" s="77" t="n">
        <x:f aca="0">R6*'3_Giả định'!$B$10</x:f>
        <x:v>152264117.481517</x:v>
      </x:c>
      <x:c r="S11" s="77" t="n">
        <x:f aca="0">S6*'3_Giả định'!$B$10</x:f>
        <x:v>164445246.880038</x:v>
      </x:c>
      <x:c r="T11" s="77" t="n">
        <x:f aca="0">T6*'3_Giả định'!$B$10</x:f>
        <x:v>177600866.630442</x:v>
      </x:c>
      <x:c r="U11" s="77" t="n">
        <x:f aca="0">U6*'3_Giả định'!$B$10</x:f>
        <x:v>191808935.960877</x:v>
      </x:c>
      <x:c r="V11" s="77" t="n">
        <x:f aca="0">V6*'3_Giả định'!$B$10</x:f>
        <x:v>207153650.837747</x:v>
      </x:c>
      <x:c r="W11" s="77" t="n">
        <x:f aca="0">W6*'3_Giả định'!$B$10</x:f>
        <x:v>223725942.904767</x:v>
      </x:c>
      <x:c r="X11" s="77" t="n">
        <x:f aca="0">X6*'3_Giả định'!$B$10</x:f>
        <x:v>241624018.337148</x:v>
      </x:c>
      <x:c r="Y11" s="77" t="n">
        <x:f aca="0">Y6*'3_Giả định'!$B$10</x:f>
        <x:v>260953939.80412</x:v>
      </x:c>
      <x:c r="Z11" s="77" t="n">
        <x:f aca="0">Z6*'3_Giả định'!$B$10</x:f>
        <x:v>281830254.98845</x:v>
      </x:c>
    </x:row>
    <x:row r="12" ht="15" hidden="0" customHeight="1">
      <x:c r="A12" s="46" t="s">
        <x:v>395</x:v>
      </x:c>
      <x:c r="C12" s="77" t="n">
        <x:f aca="0">'3_Giả định'!$B$11</x:f>
        <x:v>150000000</x:v>
      </x:c>
      <x:c r="D12" s="77" t="n">
        <x:f aca="0">'3_Giả định'!$B$11</x:f>
        <x:v>150000000</x:v>
      </x:c>
      <x:c r="E12" s="77" t="n">
        <x:f aca="0">'3_Giả định'!$B$11</x:f>
        <x:v>150000000</x:v>
      </x:c>
      <x:c r="F12" s="77" t="n">
        <x:f aca="0">'3_Giả định'!$B$11</x:f>
        <x:v>150000000</x:v>
      </x:c>
      <x:c r="G12" s="77" t="n">
        <x:f aca="0">'3_Giả định'!$B$11</x:f>
        <x:v>150000000</x:v>
      </x:c>
      <x:c r="H12" s="77" t="n">
        <x:f aca="0">'3_Giả định'!$B$11</x:f>
        <x:v>150000000</x:v>
      </x:c>
      <x:c r="I12" s="77" t="n">
        <x:f aca="0">'3_Giả định'!$B$11</x:f>
        <x:v>150000000</x:v>
      </x:c>
      <x:c r="J12" s="77" t="n">
        <x:f aca="0">'3_Giả định'!$B$11</x:f>
        <x:v>150000000</x:v>
      </x:c>
      <x:c r="K12" s="77" t="n">
        <x:f aca="0">'3_Giả định'!$B$11</x:f>
        <x:v>150000000</x:v>
      </x:c>
      <x:c r="L12" s="77" t="n">
        <x:f aca="0">'3_Giả định'!$B$11</x:f>
        <x:v>150000000</x:v>
      </x:c>
      <x:c r="M12" s="77" t="n">
        <x:f aca="0">'3_Giả định'!$B$11</x:f>
        <x:v>150000000</x:v>
      </x:c>
      <x:c r="N12" s="77" t="n">
        <x:f aca="0">'3_Giả định'!$B$11</x:f>
        <x:v>150000000</x:v>
      </x:c>
      <x:c r="O12" s="77" t="n">
        <x:f aca="0">'3_Giả định'!$B$11</x:f>
        <x:v>150000000</x:v>
      </x:c>
      <x:c r="P12" s="77" t="n">
        <x:f aca="0">'3_Giả định'!$B$11</x:f>
        <x:v>150000000</x:v>
      </x:c>
      <x:c r="Q12" s="77" t="n">
        <x:f aca="0">'3_Giả định'!$B$11</x:f>
        <x:v>150000000</x:v>
      </x:c>
      <x:c r="R12" s="77" t="n">
        <x:f aca="0">'3_Giả định'!$B$11</x:f>
        <x:v>150000000</x:v>
      </x:c>
      <x:c r="S12" s="77" t="n">
        <x:f aca="0">'3_Giả định'!$B$11</x:f>
        <x:v>150000000</x:v>
      </x:c>
      <x:c r="T12" s="77" t="n">
        <x:f aca="0">'3_Giả định'!$B$11</x:f>
        <x:v>150000000</x:v>
      </x:c>
      <x:c r="U12" s="77" t="n">
        <x:f aca="0">'3_Giả định'!$B$11</x:f>
        <x:v>150000000</x:v>
      </x:c>
      <x:c r="V12" s="77" t="n">
        <x:f aca="0">'3_Giả định'!$B$11</x:f>
        <x:v>150000000</x:v>
      </x:c>
      <x:c r="W12" s="77" t="n">
        <x:f aca="0">'3_Giả định'!$B$11</x:f>
        <x:v>150000000</x:v>
      </x:c>
      <x:c r="X12" s="77" t="n">
        <x:f aca="0">'3_Giả định'!$B$11</x:f>
        <x:v>150000000</x:v>
      </x:c>
      <x:c r="Y12" s="77" t="n">
        <x:f aca="0">'3_Giả định'!$B$11</x:f>
        <x:v>150000000</x:v>
      </x:c>
      <x:c r="Z12" s="77" t="n">
        <x:f aca="0">'3_Giả định'!$B$11</x:f>
        <x:v>150000000</x:v>
      </x:c>
    </x:row>
    <x:row r="13" ht="15" hidden="0" customHeight="1">
      <x:c r="A13" s="46" t="s">
        <x:v>396</x:v>
      </x:c>
      <x:c r="B13" s="77" t="n">
        <x:f aca="0">-'3_Giả định'!$B$12</x:f>
        <x:v>-600000000</x:v>
      </x:c>
      <x:c r="C13" s="77" t="n">
        <x:f aca="0">C10-C11-C12</x:f>
        <x:v>-159801422.08</x:v>
      </x:c>
      <x:c r="D13" s="77" t="n">
        <x:f aca="0">D10-D11-D12</x:f>
        <x:v>-123532915.264</x:v>
      </x:c>
      <x:c r="E13" s="77" t="n">
        <x:f aca="0">E10-E11-E12</x:f>
        <x:v>-85474506.520192</x:v>
      </x:c>
      <x:c r="F13" s="77" t="n">
        <x:f aca="0">F10-F11-F12</x:f>
        <x:v>-45449656.3358272</x:v>
      </x:c>
      <x:c r="G13" s="77" t="n">
        <x:f aca="0">G10-G11-G12</x:f>
        <x:v>-3268702.45789269</x:v>
      </x:c>
      <x:c r="H13" s="77" t="n">
        <x:f aca="0">H10-H11-H12</x:f>
        <x:v>41272219.9387326</x:v>
      </x:c>
      <x:c r="I13" s="77" t="n">
        <x:f aca="0">I10-I11-I12</x:f>
        <x:v>88392343.5692903</x:v>
      </x:c>
      <x:c r="J13" s="77" t="n">
        <x:f aca="0">J10-J11-J12</x:f>
        <x:v>138327526.709229</x:v>
      </x:c>
      <x:c r="K13" s="77" t="n">
        <x:f aca="0">K10-K11-K12</x:f>
        <x:v>191331610.630731</x:v>
      </x:c>
      <x:c r="L13" s="77" t="n">
        <x:f aca="0">L10-L11-L12</x:f>
        <x:v>247677884.81241</x:v>
      </x:c>
      <x:c r="M13" s="77" t="n">
        <x:f aca="0">M10-M11-M12</x:f>
        <x:v>307660668.568686</x:v>
      </x:c>
      <x:c r="N13" s="77" t="n">
        <x:f aca="0">N10-N11-N12</x:f>
        <x:v>371597018.436327</x:v>
      </x:c>
      <x:c r="O13" s="77" t="n">
        <x:f aca="0">O10-O11-O12</x:f>
        <x:v>439828571.401914</x:v>
      </x:c>
      <x:c r="P13" s="77" t="n">
        <x:f aca="0">P10-P11-P12</x:f>
        <x:v>512723534.860027</x:v>
      </x:c>
      <x:c r="Q13" s="77" t="n">
        <x:f aca="0">Q10-Q11-Q12</x:f>
        <x:v>590678835.062411</x:v>
      </x:c>
      <x:c r="R13" s="77" t="n">
        <x:f aca="0">R10-R11-R12</x:f>
        <x:v>674122436.758579</x:v>
      </x:c>
      <x:c r="S13" s="77" t="n">
        <x:f aca="0">S10-S11-S12</x:f>
        <x:v>763515847.743704</x:v>
      </x:c>
      <x:c r="T13" s="77" t="n">
        <x:f aca="0">T10-T11-T12</x:f>
        <x:v>859356823.126306</x:v>
      </x:c>
      <x:c r="U13" s="77" t="n">
        <x:f aca="0">U10-U11-U12</x:f>
        <x:v>962182285.312624</x:v>
      </x:c>
      <x:c r="V13" s="77" t="n">
        <x:f aca="0">V10-V11-V12</x:f>
        <x:v>1072571476.98376</x:v>
      </x:c>
      <x:c r="W13" s="77" t="n">
        <x:f aca="0">W10-W11-W12</x:f>
        <x:v>1191149365.7232</x:v>
      </x:c>
      <x:c r="X13" s="77" t="n">
        <x:f aca="0">X10-X11-X12</x:f>
        <x:v>1318590320.44438</x:v>
      </x:c>
      <x:c r="Y13" s="77" t="n">
        <x:f aca="0">Y10-Y11-Y12</x:f>
        <x:v>1455622081.37935</x:v>
      </x:c>
      <x:c r="Z13" s="77" t="n">
        <x:f aca="0">Z10-Z11-Z12</x:f>
        <x:v>1603030047.13014</x:v>
      </x:c>
    </x:row>
    <x:row r="14" ht="15" hidden="0" customHeight="1">
      <x:c r="A14" s="46" t="s">
        <x:v>397</x:v>
      </x:c>
      <x:c r="B14" s="77" t="n">
        <x:f aca="0">'3_Giả định'!$B$13+B13</x:f>
        <x:v>1400000000</x:v>
      </x:c>
      <x:c r="C14" s="77" t="n">
        <x:f aca="0">B14+C13</x:f>
        <x:v>1240198577.92</x:v>
      </x:c>
      <x:c r="D14" s="77" t="n">
        <x:f aca="0">C14+D13</x:f>
        <x:v>1116665662.656</x:v>
      </x:c>
      <x:c r="E14" s="77" t="n">
        <x:f aca="0">D14+E13</x:f>
        <x:v>1031191156.13581</x:v>
      </x:c>
      <x:c r="F14" s="77" t="n">
        <x:f aca="0">E14+F13</x:f>
        <x:v>985741499.799981</x:v>
      </x:c>
      <x:c r="G14" s="77" t="n">
        <x:f aca="0">F14+G13</x:f>
        <x:v>982472797.342088</x:v>
      </x:c>
      <x:c r="H14" s="77" t="n">
        <x:f aca="0">G14+H13</x:f>
        <x:v>1023745017.28082</x:v>
      </x:c>
      <x:c r="I14" s="77" t="n">
        <x:f aca="0">H14+I13</x:f>
        <x:v>1112137360.85011</x:v>
      </x:c>
      <x:c r="J14" s="77" t="n">
        <x:f aca="0">I14+J13</x:f>
        <x:v>1250464887.55934</x:v>
      </x:c>
      <x:c r="K14" s="77" t="n">
        <x:f aca="0">J14+K13</x:f>
        <x:v>1441796498.19007</x:v>
      </x:c>
      <x:c r="L14" s="77" t="n">
        <x:f aca="0">K14+L13</x:f>
        <x:v>1689474383.00248</x:v>
      </x:c>
      <x:c r="M14" s="77" t="n">
        <x:f aca="0">L14+M13</x:f>
        <x:v>1997135051.57117</x:v>
      </x:c>
      <x:c r="N14" s="77" t="n">
        <x:f aca="0">M14+N13</x:f>
        <x:v>2368732070.00749</x:v>
      </x:c>
      <x:c r="O14" s="77" t="n">
        <x:f aca="0">N14+O13</x:f>
        <x:v>2808560641.40941</x:v>
      </x:c>
      <x:c r="P14" s="77" t="n">
        <x:f aca="0">O14+P13</x:f>
        <x:v>3321284176.26943</x:v>
      </x:c>
      <x:c r="Q14" s="77" t="n">
        <x:f aca="0">P14+Q13</x:f>
        <x:v>3911963011.33185</x:v>
      </x:c>
      <x:c r="R14" s="77" t="n">
        <x:f aca="0">Q14+R13</x:f>
        <x:v>4586085448.09042</x:v>
      </x:c>
      <x:c r="S14" s="77" t="n">
        <x:f aca="0">R14+S13</x:f>
        <x:v>5349601295.83413</x:v>
      </x:c>
      <x:c r="T14" s="77" t="n">
        <x:f aca="0">S14+T13</x:f>
        <x:v>6208958118.96043</x:v>
      </x:c>
      <x:c r="U14" s="77" t="n">
        <x:f aca="0">T14+U13</x:f>
        <x:v>7171140404.27306</x:v>
      </x:c>
      <x:c r="V14" s="77" t="n">
        <x:f aca="0">U14+V13</x:f>
        <x:v>8243711881.25682</x:v>
      </x:c>
      <x:c r="W14" s="77" t="n">
        <x:f aca="0">V14+W13</x:f>
        <x:v>9434861246.98002</x:v>
      </x:c>
      <x:c r="X14" s="77" t="n">
        <x:f aca="0">W14+X13</x:f>
        <x:v>10753451567.4244</x:v>
      </x:c>
      <x:c r="Y14" s="77" t="n">
        <x:f aca="0">X14+Y13</x:f>
        <x:v>12209073648.8038</x:v>
      </x:c>
      <x:c r="Z14" s="77" t="n">
        <x:f aca="0">Y14+Z13</x:f>
        <x:v>13812103695.9339</x:v>
      </x:c>
    </x:row>
    <x:row r="15" ht="15" hidden="0" customHeight="1">
      <x:c r="A15" s="46" t="s">
        <x:v>398</x:v>
      </x:c>
      <x:c r="B15" s="77" t="n">
        <x:f aca="0">B13</x:f>
        <x:v>-600000000</x:v>
      </x:c>
      <x:c r="C15" s="77" t="n">
        <x:f aca="0">B15+C13</x:f>
        <x:v>-759801422.08</x:v>
      </x:c>
      <x:c r="D15" s="77" t="n">
        <x:f aca="0">C15+D13</x:f>
        <x:v>-883334337.344</x:v>
      </x:c>
      <x:c r="E15" s="77" t="n">
        <x:f aca="0">D15+E13</x:f>
        <x:v>-968808843.864192</x:v>
      </x:c>
      <x:c r="F15" s="77" t="n">
        <x:f aca="0">E15+F13</x:f>
        <x:v>-1014258500.20002</x:v>
      </x:c>
      <x:c r="G15" s="77" t="n">
        <x:f aca="0">F15+G13</x:f>
        <x:v>-1017527202.65791</x:v>
      </x:c>
      <x:c r="H15" s="77" t="n">
        <x:f aca="0">G15+H13</x:f>
        <x:v>-976254982.719179</x:v>
      </x:c>
      <x:c r="I15" s="77" t="n">
        <x:f aca="0">H15+I13</x:f>
        <x:v>-887862639.149889</x:v>
      </x:c>
      <x:c r="J15" s="77" t="n">
        <x:f aca="0">I15+J13</x:f>
        <x:v>-749535112.44066</x:v>
      </x:c>
      <x:c r="K15" s="77" t="n">
        <x:f aca="0">J15+K13</x:f>
        <x:v>-558203501.80993</x:v>
      </x:c>
      <x:c r="L15" s="77" t="n">
        <x:f aca="0">K15+L13</x:f>
        <x:v>-310525616.99752</x:v>
      </x:c>
      <x:c r="M15" s="77" t="n">
        <x:f aca="0">L15+M13</x:f>
        <x:v>-2864948.4288339</x:v>
      </x:c>
      <x:c r="N15" s="77" t="n">
        <x:f aca="0">M15+N13</x:f>
        <x:v>368732070.007493</x:v>
      </x:c>
      <x:c r="O15" s="77" t="n">
        <x:f aca="0">N15+O13</x:f>
        <x:v>808560641.409406</x:v>
      </x:c>
      <x:c r="P15" s="77" t="n">
        <x:f aca="0">O15+P13</x:f>
        <x:v>1321284176.26943</x:v>
      </x:c>
      <x:c r="Q15" s="77" t="n">
        <x:f aca="0">P15+Q13</x:f>
        <x:v>1911963011.33184</x:v>
      </x:c>
      <x:c r="R15" s="77" t="n">
        <x:f aca="0">Q15+R13</x:f>
        <x:v>2586085448.09042</x:v>
      </x:c>
      <x:c r="S15" s="77" t="n">
        <x:f aca="0">R15+S13</x:f>
        <x:v>3349601295.83413</x:v>
      </x:c>
      <x:c r="T15" s="77" t="n">
        <x:f aca="0">S15+T13</x:f>
        <x:v>4208958118.96043</x:v>
      </x:c>
      <x:c r="U15" s="77" t="n">
        <x:f aca="0">T15+U13</x:f>
        <x:v>5171140404.27306</x:v>
      </x:c>
      <x:c r="V15" s="77" t="n">
        <x:f aca="0">U15+V13</x:f>
        <x:v>6243711881.25682</x:v>
      </x:c>
      <x:c r="W15" s="77" t="n">
        <x:f aca="0">V15+W13</x:f>
        <x:v>7434861246.98002</x:v>
      </x:c>
      <x:c r="X15" s="77" t="n">
        <x:f aca="0">W15+X13</x:f>
        <x:v>8753451567.4244</x:v>
      </x:c>
      <x:c r="Y15" s="77" t="n">
        <x:f aca="0">X15+Y13</x:f>
        <x:v>10209073648.8038</x:v>
      </x:c>
      <x:c r="Z15" s="77" t="n">
        <x:f aca="0">Y15+Z13</x:f>
        <x:v>11812103695.9339</x:v>
      </x:c>
    </x:row>
    <x:row r="17" ht="15" hidden="0" customHeight="1">
      <x:c r="A17" s="75" t="s">
        <x:v>399</x:v>
      </x:c>
    </x:row>
    <x:row r="18" ht="15" hidden="0" customHeight="1">
      <x:c r="A18" s="46" t="s">
        <x:v>391</x:v>
      </x:c>
      <x:c r="C18" s="76" t="n">
        <x:f aca="0">'3_Giả định'!$C$7*(1+'3_Giả định'!$C$8)^0</x:f>
        <x:v>30</x:v>
      </x:c>
      <x:c r="D18" s="76" t="n">
        <x:f aca="0">'3_Giả định'!$C$7*(1+'3_Giả định'!$C$8)^1</x:f>
        <x:v>31.5</x:v>
      </x:c>
      <x:c r="E18" s="76" t="n">
        <x:f aca="0">'3_Giả định'!$C$7*(1+'3_Giả định'!$C$8)^2</x:f>
        <x:v>33.075</x:v>
      </x:c>
      <x:c r="F18" s="76" t="n">
        <x:f aca="0">'3_Giả định'!$C$7*(1+'3_Giả định'!$C$8)^3</x:f>
        <x:v>34.72875</x:v>
      </x:c>
      <x:c r="G18" s="76" t="n">
        <x:f aca="0">'3_Giả định'!$C$7*(1+'3_Giả định'!$C$8)^4</x:f>
        <x:v>36.4651875</x:v>
      </x:c>
      <x:c r="H18" s="76" t="n">
        <x:f aca="0">'3_Giả định'!$C$7*(1+'3_Giả định'!$C$8)^5</x:f>
        <x:v>38.288446875</x:v>
      </x:c>
      <x:c r="I18" s="76" t="n">
        <x:f aca="0">'3_Giả định'!$C$7*(1+'3_Giả định'!$C$8)^6</x:f>
        <x:v>40.20286921875</x:v>
      </x:c>
      <x:c r="J18" s="76" t="n">
        <x:f aca="0">'3_Giả định'!$C$7*(1+'3_Giả định'!$C$8)^7</x:f>
        <x:v>42.2130126796875</x:v>
      </x:c>
      <x:c r="K18" s="76" t="n">
        <x:f aca="0">'3_Giả định'!$C$7*(1+'3_Giả định'!$C$8)^8</x:f>
        <x:v>44.3236633136719</x:v>
      </x:c>
      <x:c r="L18" s="76" t="n">
        <x:f aca="0">'3_Giả định'!$C$7*(1+'3_Giả định'!$C$8)^9</x:f>
        <x:v>46.5398464793555</x:v>
      </x:c>
      <x:c r="M18" s="76" t="n">
        <x:f aca="0">'3_Giả định'!$C$7*(1+'3_Giả định'!$C$8)^10</x:f>
        <x:v>48.8668388033233</x:v>
      </x:c>
      <x:c r="N18" s="76" t="n">
        <x:f aca="0">'3_Giả định'!$C$7*(1+'3_Giả định'!$C$8)^11</x:f>
        <x:v>51.3101807434894</x:v>
      </x:c>
      <x:c r="O18" s="76" t="n">
        <x:f aca="0">'3_Giả định'!$C$7*(1+'3_Giả định'!$C$8)^12</x:f>
        <x:v>53.8756897806639</x:v>
      </x:c>
      <x:c r="P18" s="76" t="n">
        <x:f aca="0">'3_Giả định'!$C$7*(1+'3_Giả định'!$C$8)^13</x:f>
        <x:v>56.5694742696971</x:v>
      </x:c>
      <x:c r="Q18" s="76" t="n">
        <x:f aca="0">'3_Giả định'!$C$7*(1+'3_Giả định'!$C$8)^14</x:f>
        <x:v>59.397947983182</x:v>
      </x:c>
      <x:c r="R18" s="76" t="n">
        <x:f aca="0">'3_Giả định'!$C$7*(1+'3_Giả định'!$C$8)^15</x:f>
        <x:v>62.3678453823411</x:v>
      </x:c>
      <x:c r="S18" s="76" t="n">
        <x:f aca="0">'3_Giả định'!$C$7*(1+'3_Giả định'!$C$8)^16</x:f>
        <x:v>65.4862376514581</x:v>
      </x:c>
      <x:c r="T18" s="76" t="n">
        <x:f aca="0">'3_Giả định'!$C$7*(1+'3_Giả định'!$C$8)^17</x:f>
        <x:v>68.760549534031</x:v>
      </x:c>
      <x:c r="U18" s="76" t="n">
        <x:f aca="0">'3_Giả định'!$C$7*(1+'3_Giả định'!$C$8)^18</x:f>
        <x:v>72.1985770107326</x:v>
      </x:c>
      <x:c r="V18" s="76" t="n">
        <x:f aca="0">'3_Giả định'!$C$7*(1+'3_Giả định'!$C$8)^19</x:f>
        <x:v>75.8085058612692</x:v>
      </x:c>
      <x:c r="W18" s="76" t="n">
        <x:f aca="0">'3_Giả định'!$C$7*(1+'3_Giả định'!$C$8)^20</x:f>
        <x:v>79.5989311543327</x:v>
      </x:c>
      <x:c r="X18" s="76" t="n">
        <x:f aca="0">'3_Giả định'!$C$7*(1+'3_Giả định'!$C$8)^21</x:f>
        <x:v>83.5788777120493</x:v>
      </x:c>
      <x:c r="Y18" s="76" t="n">
        <x:f aca="0">'3_Giả định'!$C$7*(1+'3_Giả định'!$C$8)^22</x:f>
        <x:v>87.7578215976518</x:v>
      </x:c>
      <x:c r="Z18" s="76" t="n">
        <x:f aca="0">'3_Giả định'!$C$7*(1+'3_Giả định'!$C$8)^23</x:f>
        <x:v>92.1457126775344</x:v>
      </x:c>
    </x:row>
    <x:row r="19" ht="15" hidden="0" customHeight="1">
      <x:c r="A19" s="46" t="s">
        <x:v>392</x:v>
      </x:c>
      <x:c r="B19" s="1" t="n">
        <x:v>0</x:v>
      </x:c>
      <x:c r="C19" s="76" t="n">
        <x:f aca="0">B19*(1-'3_Giả định'!$C$9)+C18</x:f>
        <x:v>30</x:v>
      </x:c>
      <x:c r="D19" s="76" t="n">
        <x:f aca="0">C19*(1-'3_Giả định'!$C$9)+D18</x:f>
        <x:v>60</x:v>
      </x:c>
      <x:c r="E19" s="76" t="n">
        <x:f aca="0">D19*(1-'3_Giả định'!$C$9)+E18</x:f>
        <x:v>90.075</x:v>
      </x:c>
      <x:c r="F19" s="76" t="n">
        <x:f aca="0">E19*(1-'3_Giả định'!$C$9)+F18</x:f>
        <x:v>120.3</x:v>
      </x:c>
      <x:c r="G19" s="76" t="n">
        <x:f aca="0">F19*(1-'3_Giả định'!$C$9)+G18</x:f>
        <x:v>150.7501875</x:v>
      </x:c>
      <x:c r="H19" s="76" t="n">
        <x:f aca="0">G19*(1-'3_Giả định'!$C$9)+H18</x:f>
        <x:v>181.501125</x:v>
      </x:c>
      <x:c r="I19" s="76" t="n">
        <x:f aca="0">H19*(1-'3_Giả định'!$C$9)+I18</x:f>
        <x:v>212.62893796875</x:v>
      </x:c>
      <x:c r="J19" s="76" t="n">
        <x:f aca="0">I19*(1-'3_Giả định'!$C$9)+J18</x:f>
        <x:v>244.21050375</x:v>
      </x:c>
      <x:c r="K19" s="76" t="n">
        <x:f aca="0">J19*(1-'3_Giả định'!$C$9)+K18</x:f>
        <x:v>276.323641876172</x:v>
      </x:c>
      <x:c r="L19" s="76" t="n">
        <x:f aca="0">K19*(1-'3_Giả định'!$C$9)+L18</x:f>
        <x:v>309.047306261719</x:v>
      </x:c>
      <x:c r="M19" s="76" t="n">
        <x:f aca="0">L19*(1-'3_Giả định'!$C$9)+M18</x:f>
        <x:v>342.461779751956</x:v>
      </x:c>
      <x:c r="N19" s="76" t="n">
        <x:f aca="0">M19*(1-'3_Giả định'!$C$9)+N18</x:f>
        <x:v>376.648871507848</x:v>
      </x:c>
      <x:c r="O19" s="76" t="n">
        <x:f aca="0">N19*(1-'3_Giả định'!$C$9)+O18</x:f>
        <x:v>411.692117713119</x:v>
      </x:c>
      <x:c r="P19" s="76" t="n">
        <x:f aca="0">O19*(1-'3_Giả định'!$C$9)+P18</x:f>
        <x:v>447.67698609716</x:v>
      </x:c>
      <x:c r="Q19" s="76" t="n">
        <x:f aca="0">P19*(1-'3_Giả định'!$C$9)+Q18</x:f>
        <x:v>484.691084775484</x:v>
      </x:c>
      <x:c r="R19" s="76" t="n">
        <x:f aca="0">Q19*(1-'3_Giả định'!$C$9)+R18</x:f>
        <x:v>522.824375919051</x:v>
      </x:c>
      <x:c r="S19" s="76" t="n">
        <x:f aca="0">R19*(1-'3_Giả định'!$C$9)+S18</x:f>
        <x:v>562.169394774557</x:v>
      </x:c>
      <x:c r="T19" s="76" t="n">
        <x:f aca="0">S19*(1-'3_Giả định'!$C$9)+T18</x:f>
        <x:v>602.82147456986</x:v>
      </x:c>
      <x:c r="U19" s="76" t="n">
        <x:f aca="0">T19*(1-'3_Giả định'!$C$9)+U18</x:f>
        <x:v>644.878977852099</x:v>
      </x:c>
      <x:c r="V19" s="76" t="n">
        <x:f aca="0">U19*(1-'3_Giả định'!$C$9)+V18</x:f>
        <x:v>688.443534820764</x:v>
      </x:c>
      <x:c r="W19" s="76" t="n">
        <x:f aca="0">V19*(1-'3_Giả định'!$C$9)+W18</x:f>
        <x:v>733.620289234058</x:v>
      </x:c>
      <x:c r="X19" s="76" t="n">
        <x:f aca="0">W19*(1-'3_Giả định'!$C$9)+X18</x:f>
        <x:v>780.518152484404</x:v>
      </x:c>
      <x:c r="Y19" s="76" t="n">
        <x:f aca="0">X19*(1-'3_Giả định'!$C$9)+Y18</x:f>
        <x:v>829.250066457836</x:v>
      </x:c>
      <x:c r="Z19" s="76" t="n">
        <x:f aca="0">Y19*(1-'3_Giả định'!$C$9)+Z18</x:f>
        <x:v>879.933275812478</x:v>
      </x:c>
    </x:row>
    <x:row r="20" ht="15" hidden="0" customHeight="1">
      <x:c r="A20" s="46" t="s">
        <x:v>89</x:v>
      </x:c>
      <x:c r="C20" s="77" t="n">
        <x:f aca="0">C19*'3_Giả định'!$C$17</x:f>
        <x:v>33195000</x:v>
      </x:c>
      <x:c r="D20" s="77" t="n">
        <x:f aca="0">D19*'3_Giả định'!$C$17</x:f>
        <x:v>66390000</x:v>
      </x:c>
      <x:c r="E20" s="77" t="n">
        <x:f aca="0">E19*'3_Giả định'!$C$17</x:f>
        <x:v>99667987.5</x:v>
      </x:c>
      <x:c r="F20" s="77" t="n">
        <x:f aca="0">F19*'3_Giả định'!$C$17</x:f>
        <x:v>133111950</x:v>
      </x:c>
      <x:c r="G20" s="77" t="n">
        <x:f aca="0">G19*'3_Giả định'!$C$17</x:f>
        <x:v>166805082.46875</x:v>
      </x:c>
      <x:c r="H20" s="77" t="n">
        <x:f aca="0">H19*'3_Giả định'!$C$17</x:f>
        <x:v>200830994.8125</x:v>
      </x:c>
      <x:c r="I20" s="77" t="n">
        <x:f aca="0">I19*'3_Giả định'!$C$17</x:f>
        <x:v>235273919.862422</x:v>
      </x:c>
      <x:c r="J20" s="77" t="n">
        <x:f aca="0">J19*'3_Giả định'!$C$17</x:f>
        <x:v>270218922.399375</x:v>
      </x:c>
      <x:c r="K20" s="77" t="n">
        <x:f aca="0">K19*'3_Giả định'!$C$17</x:f>
        <x:v>305752109.735984</x:v>
      </x:c>
      <x:c r="L20" s="77" t="n">
        <x:f aca="0">L19*'3_Giả định'!$C$17</x:f>
        <x:v>341960844.378592</x:v>
      </x:c>
      <x:c r="M20" s="77" t="n">
        <x:f aca="0">M19*'3_Giả định'!$C$17</x:f>
        <x:v>378933959.295539</x:v>
      </x:c>
      <x:c r="N20" s="77" t="n">
        <x:f aca="0">N19*'3_Giả định'!$C$17</x:f>
        <x:v>416761976.323433</x:v>
      </x:c>
      <x:c r="O20" s="77" t="n">
        <x:f aca="0">O19*'3_Giả định'!$C$17</x:f>
        <x:v>455537328.249566</x:v>
      </x:c>
      <x:c r="P20" s="77" t="n">
        <x:f aca="0">P19*'3_Giả định'!$C$17</x:f>
        <x:v>495354585.116508</x:v>
      </x:c>
      <x:c r="Q20" s="77" t="n">
        <x:f aca="0">Q19*'3_Giả định'!$C$17</x:f>
        <x:v>536310685.304073</x:v>
      </x:c>
      <x:c r="R20" s="77" t="n">
        <x:f aca="0">R19*'3_Giả định'!$C$17</x:f>
        <x:v>578505171.95443</x:v>
      </x:c>
      <x:c r="S20" s="77" t="n">
        <x:f aca="0">S19*'3_Giả định'!$C$17</x:f>
        <x:v>622040435.318047</x:v>
      </x:c>
      <x:c r="T20" s="77" t="n">
        <x:f aca="0">T19*'3_Giả định'!$C$17</x:f>
        <x:v>667021961.61155</x:v>
      </x:c>
      <x:c r="U20" s="77" t="n">
        <x:f aca="0">U19*'3_Giả định'!$C$17</x:f>
        <x:v>713558588.993348</x:v>
      </x:c>
      <x:c r="V20" s="77" t="n">
        <x:f aca="0">V19*'3_Giả định'!$C$17</x:f>
        <x:v>761762771.279175</x:v>
      </x:c>
      <x:c r="W20" s="77" t="n">
        <x:f aca="0">W19*'3_Giả định'!$C$17</x:f>
        <x:v>811750850.037485</x:v>
      </x:c>
      <x:c r="X20" s="77" t="n">
        <x:f aca="0">X19*'3_Giả định'!$C$17</x:f>
        <x:v>863643335.723993</x:v>
      </x:c>
      <x:c r="Y20" s="77" t="n">
        <x:f aca="0">Y19*'3_Giả định'!$C$17</x:f>
        <x:v>917565198.535595</x:v>
      </x:c>
      <x:c r="Z20" s="77" t="n">
        <x:f aca="0">Z19*'3_Giả định'!$C$17</x:f>
        <x:v>973646169.686507</x:v>
      </x:c>
    </x:row>
    <x:row r="21" ht="15" hidden="0" customHeight="1">
      <x:c r="A21" s="46" t="s">
        <x:v>393</x:v>
      </x:c>
      <x:c r="C21" s="77" t="n">
        <x:f aca="0">C19*'3_Giả định'!$C$18</x:f>
        <x:v>8739518.4</x:v>
      </x:c>
      <x:c r="D21" s="77" t="n">
        <x:f aca="0">D19*'3_Giả định'!$C$18</x:f>
        <x:v>17479036.8</x:v>
      </x:c>
      <x:c r="E21" s="77" t="n">
        <x:f aca="0">E19*'3_Giả định'!$C$18</x:f>
        <x:v>26240403.996</x:v>
      </x:c>
      <x:c r="F21" s="77" t="n">
        <x:f aca="0">F19*'3_Giả định'!$C$18</x:f>
        <x:v>35045468.784</x:v>
      </x:c>
      <x:c r="G21" s="77" t="n">
        <x:f aca="0">G19*'3_Giả định'!$C$18</x:f>
        <x:v>43916134.58199</x:v>
      </x:c>
      <x:c r="H21" s="77" t="n">
        <x:f aca="0">H19*'3_Giả định'!$C$18</x:f>
        <x:v>52874414.05194</x:v>
      </x:c>
      <x:c r="I21" s="77" t="n">
        <x:f aca="0">I19*'3_Giả định'!$C$18</x:f>
        <x:v>61942483.858345</x:v>
      </x:c>
      <x:c r="J21" s="77" t="n">
        <x:f aca="0">J19*'3_Giả định'!$C$18</x:f>
        <x:v>71142739.6998798</x:v>
      </x:c>
      <x:c r="K21" s="77" t="n">
        <x:f aca="0">K19*'3_Giả định'!$C$18</x:f>
        <x:v>80497851.7510605</x:v>
      </x:c>
      <x:c r="L21" s="77" t="n">
        <x:f aca="0">L19*'3_Giả định'!$C$18</x:f>
        <x:v>90030820.6514909</x:v>
      </x:c>
      <x:c r="M21" s="77" t="n">
        <x:f aca="0">M19*'3_Giả định'!$C$18</x:f>
        <x:v>99765034.1812989</x:v>
      </x:c>
      <x:c r="N21" s="77" t="n">
        <x:f aca="0">N19*'3_Giả định'!$C$18</x:f>
        <x:v>109724324.762736</x:v>
      </x:c>
      <x:c r="O21" s="77" t="n">
        <x:f aca="0">O19*'3_Giả định'!$C$18</x:f>
        <x:v>119933027.929626</x:v>
      </x:c>
      <x:c r="P21" s="77" t="n">
        <x:f aca="0">P19*'3_Giả định'!$C$18</x:f>
        <x:v>130416041.908423</x:v>
      </x:c>
      <x:c r="Q21" s="77" t="n">
        <x:f aca="0">Q19*'3_Giả định'!$C$18</x:f>
        <x:v>141198888.457043</x:v>
      </x:c>
      <x:c r="R21" s="77" t="n">
        <x:f aca="0">R19*'3_Giả định'!$C$18</x:f>
        <x:v>152307775.110435</x:v>
      </x:c>
      <x:c r="S21" s="77" t="n">
        <x:f aca="0">S19*'3_Giả định'!$C$18</x:f>
        <x:v>163769658.98497</x:v>
      </x:c>
      <x:c r="T21" s="77" t="n">
        <x:f aca="0">T19*'3_Giả định'!$C$18</x:f>
        <x:v>175612312.297281</x:v>
      </x:c>
      <x:c r="U21" s="77" t="n">
        <x:f aca="0">U19*'3_Giả định'!$C$18</x:f>
        <x:v>187864389.757054</x:v>
      </x:c>
      <x:c r="V21" s="77" t="n">
        <x:f aca="0">V19*'3_Giả định'!$C$18</x:f>
        <x:v>200555497.99757</x:v>
      </x:c>
      <x:c r="W21" s="77" t="n">
        <x:f aca="0">W19*'3_Giả định'!$C$18</x:f>
        <x:v>213716267.212479</x:v>
      </x:c>
      <x:c r="X21" s="77" t="n">
        <x:f aca="0">X19*'3_Giả định'!$C$18</x:f>
        <x:v>227378425.172382</x:v>
      </x:c>
      <x:c r="Y21" s="77" t="n">
        <x:f aca="0">Y19*'3_Giả định'!$C$18</x:f>
        <x:v>241574873.800316</x:v>
      </x:c>
      <x:c r="Z21" s="77" t="n">
        <x:f aca="0">Z19*'3_Giả định'!$C$18</x:f>
        <x:v>256339768.491181</x:v>
      </x:c>
    </x:row>
    <x:row r="22" ht="15" hidden="0" customHeight="1">
      <x:c r="A22" s="46" t="s">
        <x:v>91</x:v>
      </x:c>
      <x:c r="C22" s="77" t="n">
        <x:f aca="0">C20-C21</x:f>
        <x:v>24455481.6</x:v>
      </x:c>
      <x:c r="D22" s="77" t="n">
        <x:f aca="0">D20-D21</x:f>
        <x:v>48910963.2</x:v>
      </x:c>
      <x:c r="E22" s="77" t="n">
        <x:f aca="0">E20-E21</x:f>
        <x:v>73427583.504</x:v>
      </x:c>
      <x:c r="F22" s="77" t="n">
        <x:f aca="0">F20-F21</x:f>
        <x:v>98066481.216</x:v>
      </x:c>
      <x:c r="G22" s="77" t="n">
        <x:f aca="0">G20-G21</x:f>
        <x:v>122888947.88676</x:v>
      </x:c>
      <x:c r="H22" s="77" t="n">
        <x:f aca="0">H20-H21</x:f>
        <x:v>147956580.76056</x:v>
      </x:c>
      <x:c r="I22" s="77" t="n">
        <x:f aca="0">I20-I21</x:f>
        <x:v>173331436.004077</x:v>
      </x:c>
      <x:c r="J22" s="77" t="n">
        <x:f aca="0">J20-J21</x:f>
        <x:v>199076182.699495</x:v>
      </x:c>
      <x:c r="K22" s="77" t="n">
        <x:f aca="0">K20-K21</x:f>
        <x:v>225254257.984924</x:v>
      </x:c>
      <x:c r="L22" s="77" t="n">
        <x:f aca="0">L20-L21</x:f>
        <x:v>251930023.727101</x:v>
      </x:c>
      <x:c r="M22" s="77" t="n">
        <x:f aca="0">M20-M21</x:f>
        <x:v>279168925.114241</x:v>
      </x:c>
      <x:c r="N22" s="77" t="n">
        <x:f aca="0">N20-N21</x:f>
        <x:v>307037651.560698</x:v>
      </x:c>
      <x:c r="O22" s="77" t="n">
        <x:f aca="0">O20-O21</x:f>
        <x:v>335604300.319941</x:v>
      </x:c>
      <x:c r="P22" s="77" t="n">
        <x:f aca="0">P20-P21</x:f>
        <x:v>364938543.208085</x:v>
      </x:c>
      <x:c r="Q22" s="77" t="n">
        <x:f aca="0">Q20-Q21</x:f>
        <x:v>395111796.84703</x:v>
      </x:c>
      <x:c r="R22" s="77" t="n">
        <x:f aca="0">R20-R21</x:f>
        <x:v>426197396.843995</x:v>
      </x:c>
      <x:c r="S22" s="77" t="n">
        <x:f aca="0">S20-S21</x:f>
        <x:v>458270776.333077</x:v>
      </x:c>
      <x:c r="T22" s="77" t="n">
        <x:f aca="0">T20-T21</x:f>
        <x:v>491409649.314269</x:v>
      </x:c>
      <x:c r="U22" s="77" t="n">
        <x:f aca="0">U20-U21</x:f>
        <x:v>525694199.236294</x:v>
      </x:c>
      <x:c r="V22" s="77" t="n">
        <x:f aca="0">V20-V21</x:f>
        <x:v>561207273.281605</x:v>
      </x:c>
      <x:c r="W22" s="77" t="n">
        <x:f aca="0">W20-W21</x:f>
        <x:v>598034582.825006</x:v>
      </x:c>
      <x:c r="X22" s="77" t="n">
        <x:f aca="0">X20-X21</x:f>
        <x:v>636264910.551612</x:v>
      </x:c>
      <x:c r="Y22" s="77" t="n">
        <x:f aca="0">Y20-Y21</x:f>
        <x:v>675990324.735279</x:v>
      </x:c>
      <x:c r="Z22" s="77" t="n">
        <x:f aca="0">Z20-Z21</x:f>
        <x:v>717306401.195326</x:v>
      </x:c>
    </x:row>
    <x:row r="23" ht="15" hidden="0" customHeight="1">
      <x:c r="A23" s="46" t="s">
        <x:v>394</x:v>
      </x:c>
      <x:c r="C23" s="77" t="n">
        <x:f aca="0">C18*'3_Giả định'!$C$10</x:f>
        <x:v>45000000</x:v>
      </x:c>
      <x:c r="D23" s="77" t="n">
        <x:f aca="0">D18*'3_Giả định'!$C$10</x:f>
        <x:v>47250000</x:v>
      </x:c>
      <x:c r="E23" s="77" t="n">
        <x:f aca="0">E18*'3_Giả định'!$C$10</x:f>
        <x:v>49612500</x:v>
      </x:c>
      <x:c r="F23" s="77" t="n">
        <x:f aca="0">F18*'3_Giả định'!$C$10</x:f>
        <x:v>52093125</x:v>
      </x:c>
      <x:c r="G23" s="77" t="n">
        <x:f aca="0">G18*'3_Giả định'!$C$10</x:f>
        <x:v>54697781.25</x:v>
      </x:c>
      <x:c r="H23" s="77" t="n">
        <x:f aca="0">H18*'3_Giả định'!$C$10</x:f>
        <x:v>57432670.3125</x:v>
      </x:c>
      <x:c r="I23" s="77" t="n">
        <x:f aca="0">I18*'3_Giả định'!$C$10</x:f>
        <x:v>60304303.828125</x:v>
      </x:c>
      <x:c r="J23" s="77" t="n">
        <x:f aca="0">J18*'3_Giả định'!$C$10</x:f>
        <x:v>63319519.0195313</x:v>
      </x:c>
      <x:c r="K23" s="77" t="n">
        <x:f aca="0">K18*'3_Giả định'!$C$10</x:f>
        <x:v>66485494.9705078</x:v>
      </x:c>
      <x:c r="L23" s="77" t="n">
        <x:f aca="0">L18*'3_Giả định'!$C$10</x:f>
        <x:v>69809769.7190332</x:v>
      </x:c>
      <x:c r="M23" s="77" t="n">
        <x:f aca="0">M18*'3_Giả định'!$C$10</x:f>
        <x:v>73300258.2049849</x:v>
      </x:c>
      <x:c r="N23" s="77" t="n">
        <x:f aca="0">N18*'3_Giả định'!$C$10</x:f>
        <x:v>76965271.1152341</x:v>
      </x:c>
      <x:c r="O23" s="77" t="n">
        <x:f aca="0">O18*'3_Giả định'!$C$10</x:f>
        <x:v>80813534.6709959</x:v>
      </x:c>
      <x:c r="P23" s="77" t="n">
        <x:f aca="0">P18*'3_Giả định'!$C$10</x:f>
        <x:v>84854211.4045457</x:v>
      </x:c>
      <x:c r="Q23" s="77" t="n">
        <x:f aca="0">Q18*'3_Giả định'!$C$10</x:f>
        <x:v>89096921.9747729</x:v>
      </x:c>
      <x:c r="R23" s="77" t="n">
        <x:f aca="0">R18*'3_Giả định'!$C$10</x:f>
        <x:v>93551768.0735116</x:v>
      </x:c>
      <x:c r="S23" s="77" t="n">
        <x:f aca="0">S18*'3_Giả định'!$C$10</x:f>
        <x:v>98229356.4771872</x:v>
      </x:c>
      <x:c r="T23" s="77" t="n">
        <x:f aca="0">T18*'3_Giả định'!$C$10</x:f>
        <x:v>103140824.301047</x:v>
      </x:c>
      <x:c r="U23" s="77" t="n">
        <x:f aca="0">U18*'3_Giả định'!$C$10</x:f>
        <x:v>108297865.516099</x:v>
      </x:c>
      <x:c r="V23" s="77" t="n">
        <x:f aca="0">V18*'3_Giả định'!$C$10</x:f>
        <x:v>113712758.791904</x:v>
      </x:c>
      <x:c r="W23" s="77" t="n">
        <x:f aca="0">W18*'3_Giả định'!$C$10</x:f>
        <x:v>119398396.731499</x:v>
      </x:c>
      <x:c r="X23" s="77" t="n">
        <x:f aca="0">X18*'3_Giả định'!$C$10</x:f>
        <x:v>125368316.568074</x:v>
      </x:c>
      <x:c r="Y23" s="77" t="n">
        <x:f aca="0">Y18*'3_Giả định'!$C$10</x:f>
        <x:v>131636732.396478</x:v>
      </x:c>
      <x:c r="Z23" s="77" t="n">
        <x:f aca="0">Z18*'3_Giả định'!$C$10</x:f>
        <x:v>138218569.016302</x:v>
      </x:c>
    </x:row>
    <x:row r="24" ht="15" hidden="0" customHeight="1">
      <x:c r="A24" s="46" t="s">
        <x:v>395</x:v>
      </x:c>
      <x:c r="C24" s="77" t="n">
        <x:f aca="0">'3_Giả định'!$C$11</x:f>
        <x:v>150000000</x:v>
      </x:c>
      <x:c r="D24" s="77" t="n">
        <x:f aca="0">'3_Giả định'!$C$11</x:f>
        <x:v>150000000</x:v>
      </x:c>
      <x:c r="E24" s="77" t="n">
        <x:f aca="0">'3_Giả định'!$C$11</x:f>
        <x:v>150000000</x:v>
      </x:c>
      <x:c r="F24" s="77" t="n">
        <x:f aca="0">'3_Giả định'!$C$11</x:f>
        <x:v>150000000</x:v>
      </x:c>
      <x:c r="G24" s="77" t="n">
        <x:f aca="0">'3_Giả định'!$C$11</x:f>
        <x:v>150000000</x:v>
      </x:c>
      <x:c r="H24" s="77" t="n">
        <x:f aca="0">'3_Giả định'!$C$11</x:f>
        <x:v>150000000</x:v>
      </x:c>
      <x:c r="I24" s="77" t="n">
        <x:f aca="0">'3_Giả định'!$C$11</x:f>
        <x:v>150000000</x:v>
      </x:c>
      <x:c r="J24" s="77" t="n">
        <x:f aca="0">'3_Giả định'!$C$11</x:f>
        <x:v>150000000</x:v>
      </x:c>
      <x:c r="K24" s="77" t="n">
        <x:f aca="0">'3_Giả định'!$C$11</x:f>
        <x:v>150000000</x:v>
      </x:c>
      <x:c r="L24" s="77" t="n">
        <x:f aca="0">'3_Giả định'!$C$11</x:f>
        <x:v>150000000</x:v>
      </x:c>
      <x:c r="M24" s="77" t="n">
        <x:f aca="0">'3_Giả định'!$C$11</x:f>
        <x:v>150000000</x:v>
      </x:c>
      <x:c r="N24" s="77" t="n">
        <x:f aca="0">'3_Giả định'!$C$11</x:f>
        <x:v>150000000</x:v>
      </x:c>
      <x:c r="O24" s="77" t="n">
        <x:f aca="0">'3_Giả định'!$C$11</x:f>
        <x:v>150000000</x:v>
      </x:c>
      <x:c r="P24" s="77" t="n">
        <x:f aca="0">'3_Giả định'!$C$11</x:f>
        <x:v>150000000</x:v>
      </x:c>
      <x:c r="Q24" s="77" t="n">
        <x:f aca="0">'3_Giả định'!$C$11</x:f>
        <x:v>150000000</x:v>
      </x:c>
      <x:c r="R24" s="77" t="n">
        <x:f aca="0">'3_Giả định'!$C$11</x:f>
        <x:v>150000000</x:v>
      </x:c>
      <x:c r="S24" s="77" t="n">
        <x:f aca="0">'3_Giả định'!$C$11</x:f>
        <x:v>150000000</x:v>
      </x:c>
      <x:c r="T24" s="77" t="n">
        <x:f aca="0">'3_Giả định'!$C$11</x:f>
        <x:v>150000000</x:v>
      </x:c>
      <x:c r="U24" s="77" t="n">
        <x:f aca="0">'3_Giả định'!$C$11</x:f>
        <x:v>150000000</x:v>
      </x:c>
      <x:c r="V24" s="77" t="n">
        <x:f aca="0">'3_Giả định'!$C$11</x:f>
        <x:v>150000000</x:v>
      </x:c>
      <x:c r="W24" s="77" t="n">
        <x:f aca="0">'3_Giả định'!$C$11</x:f>
        <x:v>150000000</x:v>
      </x:c>
      <x:c r="X24" s="77" t="n">
        <x:f aca="0">'3_Giả định'!$C$11</x:f>
        <x:v>150000000</x:v>
      </x:c>
      <x:c r="Y24" s="77" t="n">
        <x:f aca="0">'3_Giả định'!$C$11</x:f>
        <x:v>150000000</x:v>
      </x:c>
      <x:c r="Z24" s="77" t="n">
        <x:f aca="0">'3_Giả định'!$C$11</x:f>
        <x:v>150000000</x:v>
      </x:c>
    </x:row>
    <x:row r="25" ht="15" hidden="0" customHeight="1">
      <x:c r="A25" s="46" t="s">
        <x:v>396</x:v>
      </x:c>
      <x:c r="B25" s="77" t="n">
        <x:f aca="0">-'3_Giả định'!$C$12</x:f>
        <x:v>-600000000</x:v>
      </x:c>
      <x:c r="C25" s="77" t="n">
        <x:f aca="0">C22-C23-C24</x:f>
        <x:v>-170544518.4</x:v>
      </x:c>
      <x:c r="D25" s="77" t="n">
        <x:f aca="0">D22-D23-D24</x:f>
        <x:v>-148339036.8</x:v>
      </x:c>
      <x:c r="E25" s="77" t="n">
        <x:f aca="0">E22-E23-E24</x:f>
        <x:v>-126184916.496</x:v>
      </x:c>
      <x:c r="F25" s="77" t="n">
        <x:f aca="0">F22-F23-F24</x:f>
        <x:v>-104026643.784</x:v>
      </x:c>
      <x:c r="G25" s="77" t="n">
        <x:f aca="0">G22-G23-G24</x:f>
        <x:v>-81808833.36324</x:v>
      </x:c>
      <x:c r="H25" s="77" t="n">
        <x:f aca="0">H22-H23-H24</x:f>
        <x:v>-59476089.55194</x:v>
      </x:c>
      <x:c r="I25" s="77" t="n">
        <x:f aca="0">I22-I23-I24</x:f>
        <x:v>-36972867.8240481</x:v>
      </x:c>
      <x:c r="J25" s="77" t="n">
        <x:f aca="0">J22-J23-J24</x:f>
        <x:v>-14243336.3200361</x:v>
      </x:c>
      <x:c r="K25" s="77" t="n">
        <x:f aca="0">K22-K23-K24</x:f>
        <x:v>8768763.01441589</x:v>
      </x:c>
      <x:c r="L25" s="77" t="n">
        <x:f aca="0">L22-L23-L24</x:f>
        <x:v>32120254.0080677</x:v>
      </x:c>
      <x:c r="M25" s="77" t="n">
        <x:f aca="0">M22-M23-M24</x:f>
        <x:v>55868666.9092556</x:v>
      </x:c>
      <x:c r="N25" s="77" t="n">
        <x:f aca="0">N22-N23-N24</x:f>
        <x:v>80072380.4454637</x:v>
      </x:c>
      <x:c r="O25" s="77" t="n">
        <x:f aca="0">O22-O23-O24</x:f>
        <x:v>104790765.648945</x:v>
      </x:c>
      <x:c r="P25" s="77" t="n">
        <x:f aca="0">P22-P23-P24</x:f>
        <x:v>130084331.80354</x:v>
      </x:c>
      <x:c r="Q25" s="77" t="n">
        <x:f aca="0">Q22-Q23-Q24</x:f>
        <x:v>156014874.872257</x:v>
      </x:c>
      <x:c r="R25" s="77" t="n">
        <x:f aca="0">R22-R23-R24</x:f>
        <x:v>182645628.770483</x:v>
      </x:c>
      <x:c r="S25" s="77" t="n">
        <x:f aca="0">S22-S23-S24</x:f>
        <x:v>210041419.85589</x:v>
      </x:c>
      <x:c r="T25" s="77" t="n">
        <x:f aca="0">T22-T23-T24</x:f>
        <x:v>238268825.013223</x:v>
      </x:c>
      <x:c r="U25" s="77" t="n">
        <x:f aca="0">U22-U23-U24</x:f>
        <x:v>267396333.720195</x:v>
      </x:c>
      <x:c r="V25" s="77" t="n">
        <x:f aca="0">V22-V23-V24</x:f>
        <x:v>297494514.489701</x:v>
      </x:c>
      <x:c r="W25" s="77" t="n">
        <x:f aca="0">W22-W23-W24</x:f>
        <x:v>328636186.093507</x:v>
      </x:c>
      <x:c r="X25" s="77" t="n">
        <x:f aca="0">X22-X23-X24</x:f>
        <x:v>360896593.983538</x:v>
      </x:c>
      <x:c r="Y25" s="77" t="n">
        <x:f aca="0">Y22-Y23-Y24</x:f>
        <x:v>394353592.338802</x:v>
      </x:c>
      <x:c r="Z25" s="77" t="n">
        <x:f aca="0">Z22-Z23-Z24</x:f>
        <x:v>429087832.179025</x:v>
      </x:c>
    </x:row>
    <x:row r="26" ht="15" hidden="0" customHeight="1">
      <x:c r="A26" s="46" t="s">
        <x:v>397</x:v>
      </x:c>
      <x:c r="B26" s="77" t="n">
        <x:f aca="0">'3_Giả định'!$C$13+B25</x:f>
        <x:v>1400000000</x:v>
      </x:c>
      <x:c r="C26" s="77" t="n">
        <x:f aca="0">B26+C25</x:f>
        <x:v>1229455481.6</x:v>
      </x:c>
      <x:c r="D26" s="77" t="n">
        <x:f aca="0">C26+D25</x:f>
        <x:v>1081116444.8</x:v>
      </x:c>
      <x:c r="E26" s="77" t="n">
        <x:f aca="0">D26+E25</x:f>
        <x:v>954931528.304</x:v>
      </x:c>
      <x:c r="F26" s="77" t="n">
        <x:f aca="0">E26+F25</x:f>
        <x:v>850904884.52</x:v>
      </x:c>
      <x:c r="G26" s="77" t="n">
        <x:f aca="0">F26+G25</x:f>
        <x:v>769096051.15676</x:v>
      </x:c>
      <x:c r="H26" s="77" t="n">
        <x:f aca="0">G26+H25</x:f>
        <x:v>709619961.60482</x:v>
      </x:c>
      <x:c r="I26" s="77" t="n">
        <x:f aca="0">H26+I25</x:f>
        <x:v>672647093.780772</x:v>
      </x:c>
      <x:c r="J26" s="77" t="n">
        <x:f aca="0">I26+J25</x:f>
        <x:v>658403757.460736</x:v>
      </x:c>
      <x:c r="K26" s="77" t="n">
        <x:f aca="0">J26+K25</x:f>
        <x:v>667172520.475151</x:v>
      </x:c>
      <x:c r="L26" s="77" t="n">
        <x:f aca="0">K26+L25</x:f>
        <x:v>699292774.483219</x:v>
      </x:c>
      <x:c r="M26" s="77" t="n">
        <x:f aca="0">L26+M25</x:f>
        <x:v>755161441.392475</x:v>
      </x:c>
      <x:c r="N26" s="77" t="n">
        <x:f aca="0">M26+N25</x:f>
        <x:v>835233821.837938</x:v>
      </x:c>
      <x:c r="O26" s="77" t="n">
        <x:f aca="0">N26+O25</x:f>
        <x:v>940024587.486883</x:v>
      </x:c>
      <x:c r="P26" s="77" t="n">
        <x:f aca="0">O26+P25</x:f>
        <x:v>1070108919.29042</x:v>
      </x:c>
      <x:c r="Q26" s="77" t="n">
        <x:f aca="0">P26+Q25</x:f>
        <x:v>1226123794.16268</x:v>
      </x:c>
      <x:c r="R26" s="77" t="n">
        <x:f aca="0">Q26+R25</x:f>
        <x:v>1408769422.93316</x:v>
      </x:c>
      <x:c r="S26" s="77" t="n">
        <x:f aca="0">R26+S25</x:f>
        <x:v>1618810842.78905</x:v>
      </x:c>
      <x:c r="T26" s="77" t="n">
        <x:f aca="0">S26+T25</x:f>
        <x:v>1857079667.80228</x:v>
      </x:c>
      <x:c r="U26" s="77" t="n">
        <x:f aca="0">T26+U25</x:f>
        <x:v>2124476001.52247</x:v>
      </x:c>
      <x:c r="V26" s="77" t="n">
        <x:f aca="0">U26+V25</x:f>
        <x:v>2421970516.01217</x:v>
      </x:c>
      <x:c r="W26" s="77" t="n">
        <x:f aca="0">V26+W25</x:f>
        <x:v>2750606702.10568</x:v>
      </x:c>
      <x:c r="X26" s="77" t="n">
        <x:f aca="0">W26+X25</x:f>
        <x:v>3111503296.08922</x:v>
      </x:c>
      <x:c r="Y26" s="77" t="n">
        <x:f aca="0">X26+Y25</x:f>
        <x:v>3505856888.42802</x:v>
      </x:c>
      <x:c r="Z26" s="77" t="n">
        <x:f aca="0">Y26+Z25</x:f>
        <x:v>3934944720.60704</x:v>
      </x:c>
    </x:row>
    <x:row r="27" ht="15" hidden="0" customHeight="1">
      <x:c r="A27" s="46" t="s">
        <x:v>398</x:v>
      </x:c>
      <x:c r="B27" s="77" t="n">
        <x:f aca="0">B25</x:f>
        <x:v>-600000000</x:v>
      </x:c>
      <x:c r="C27" s="77" t="n">
        <x:f aca="0">B27+C25</x:f>
        <x:v>-770544518.4</x:v>
      </x:c>
      <x:c r="D27" s="77" t="n">
        <x:f aca="0">C27+D25</x:f>
        <x:v>-918883555.2</x:v>
      </x:c>
      <x:c r="E27" s="77" t="n">
        <x:f aca="0">D27+E25</x:f>
        <x:v>-1045068471.696</x:v>
      </x:c>
      <x:c r="F27" s="77" t="n">
        <x:f aca="0">E27+F25</x:f>
        <x:v>-1149095115.48</x:v>
      </x:c>
      <x:c r="G27" s="77" t="n">
        <x:f aca="0">F27+G25</x:f>
        <x:v>-1230903948.84324</x:v>
      </x:c>
      <x:c r="H27" s="77" t="n">
        <x:f aca="0">G27+H25</x:f>
        <x:v>-1290380038.39518</x:v>
      </x:c>
      <x:c r="I27" s="77" t="n">
        <x:f aca="0">H27+I25</x:f>
        <x:v>-1327352906.21923</x:v>
      </x:c>
      <x:c r="J27" s="77" t="n">
        <x:f aca="0">I27+J25</x:f>
        <x:v>-1341596242.53926</x:v>
      </x:c>
      <x:c r="K27" s="77" t="n">
        <x:f aca="0">J27+K25</x:f>
        <x:v>-1332827479.52485</x:v>
      </x:c>
      <x:c r="L27" s="77" t="n">
        <x:f aca="0">K27+L25</x:f>
        <x:v>-1300707225.51678</x:v>
      </x:c>
      <x:c r="M27" s="77" t="n">
        <x:f aca="0">L27+M25</x:f>
        <x:v>-1244838558.60752</x:v>
      </x:c>
      <x:c r="N27" s="77" t="n">
        <x:f aca="0">M27+N25</x:f>
        <x:v>-1164766178.16206</x:v>
      </x:c>
      <x:c r="O27" s="77" t="n">
        <x:f aca="0">N27+O25</x:f>
        <x:v>-1059975412.51312</x:v>
      </x:c>
      <x:c r="P27" s="77" t="n">
        <x:f aca="0">O27+P25</x:f>
        <x:v>-929891080.709577</x:v>
      </x:c>
      <x:c r="Q27" s="77" t="n">
        <x:f aca="0">P27+Q25</x:f>
        <x:v>-773876205.83732</x:v>
      </x:c>
      <x:c r="R27" s="77" t="n">
        <x:f aca="0">Q27+R25</x:f>
        <x:v>-591230577.066837</x:v>
      </x:c>
      <x:c r="S27" s="77" t="n">
        <x:f aca="0">R27+S25</x:f>
        <x:v>-381189157.210947</x:v>
      </x:c>
      <x:c r="T27" s="77" t="n">
        <x:f aca="0">S27+T25</x:f>
        <x:v>-142920332.197724</x:v>
      </x:c>
      <x:c r="U27" s="77" t="n">
        <x:f aca="0">T27+U25</x:f>
        <x:v>124476001.522471</x:v>
      </x:c>
      <x:c r="V27" s="77" t="n">
        <x:f aca="0">U27+V25</x:f>
        <x:v>421970516.012172</x:v>
      </x:c>
      <x:c r="W27" s="77" t="n">
        <x:f aca="0">V27+W25</x:f>
        <x:v>750606702.105679</x:v>
      </x:c>
      <x:c r="X27" s="77" t="n">
        <x:f aca="0">W27+X25</x:f>
        <x:v>1111503296.08922</x:v>
      </x:c>
      <x:c r="Y27" s="77" t="n">
        <x:f aca="0">X27+Y25</x:f>
        <x:v>1505856888.42802</x:v>
      </x:c>
      <x:c r="Z27" s="77" t="n">
        <x:f aca="0">Y27+Z25</x:f>
        <x:v>1934944720.60704</x:v>
      </x:c>
    </x:row>
    <x:row r="29" ht="15" hidden="0" customHeight="1">
      <x:c r="A29" s="75" t="s">
        <x:v>400</x:v>
      </x:c>
    </x:row>
    <x:row r="30" ht="15" hidden="0" customHeight="1">
      <x:c r="A30" s="46" t="s">
        <x:v>391</x:v>
      </x:c>
      <x:c r="C30" s="76" t="n">
        <x:f aca="0">'3_Giả định'!$D$7*(1+'3_Giả định'!$D$8)^0</x:f>
        <x:v>15</x:v>
      </x:c>
      <x:c r="D30" s="76" t="n">
        <x:f aca="0">'3_Giả định'!$D$7*(1+'3_Giả định'!$D$8)^1</x:f>
        <x:v>15.3</x:v>
      </x:c>
      <x:c r="E30" s="76" t="n">
        <x:f aca="0">'3_Giả định'!$D$7*(1+'3_Giả định'!$D$8)^2</x:f>
        <x:v>15.606</x:v>
      </x:c>
      <x:c r="F30" s="76" t="n">
        <x:f aca="0">'3_Giả định'!$D$7*(1+'3_Giả định'!$D$8)^3</x:f>
        <x:v>15.91812</x:v>
      </x:c>
      <x:c r="G30" s="76" t="n">
        <x:f aca="0">'3_Giả định'!$D$7*(1+'3_Giả định'!$D$8)^4</x:f>
        <x:v>16.2364824</x:v>
      </x:c>
      <x:c r="H30" s="76" t="n">
        <x:f aca="0">'3_Giả định'!$D$7*(1+'3_Giả định'!$D$8)^5</x:f>
        <x:v>16.561212048</x:v>
      </x:c>
      <x:c r="I30" s="76" t="n">
        <x:f aca="0">'3_Giả định'!$D$7*(1+'3_Giả định'!$D$8)^6</x:f>
        <x:v>16.89243628896</x:v>
      </x:c>
      <x:c r="J30" s="76" t="n">
        <x:f aca="0">'3_Giả định'!$D$7*(1+'3_Giả định'!$D$8)^7</x:f>
        <x:v>17.2302850147392</x:v>
      </x:c>
      <x:c r="K30" s="76" t="n">
        <x:f aca="0">'3_Giả định'!$D$7*(1+'3_Giả định'!$D$8)^8</x:f>
        <x:v>17.574890715034</x:v>
      </x:c>
      <x:c r="L30" s="76" t="n">
        <x:f aca="0">'3_Giả định'!$D$7*(1+'3_Giả định'!$D$8)^9</x:f>
        <x:v>17.9263885293347</x:v>
      </x:c>
      <x:c r="M30" s="76" t="n">
        <x:f aca="0">'3_Giả định'!$D$7*(1+'3_Giả định'!$D$8)^10</x:f>
        <x:v>18.2849162999214</x:v>
      </x:c>
      <x:c r="N30" s="76" t="n">
        <x:f aca="0">'3_Giả định'!$D$7*(1+'3_Giả định'!$D$8)^11</x:f>
        <x:v>18.6506146259198</x:v>
      </x:c>
      <x:c r="O30" s="76" t="n">
        <x:f aca="0">'3_Giả định'!$D$7*(1+'3_Giả định'!$D$8)^12</x:f>
        <x:v>19.0236269184382</x:v>
      </x:c>
      <x:c r="P30" s="76" t="n">
        <x:f aca="0">'3_Giả định'!$D$7*(1+'3_Giả định'!$D$8)^13</x:f>
        <x:v>19.4040994568069</x:v>
      </x:c>
      <x:c r="Q30" s="76" t="n">
        <x:f aca="0">'3_Giả định'!$D$7*(1+'3_Giả định'!$D$8)^14</x:f>
        <x:v>19.7921814459431</x:v>
      </x:c>
      <x:c r="R30" s="76" t="n">
        <x:f aca="0">'3_Giả định'!$D$7*(1+'3_Giả định'!$D$8)^15</x:f>
        <x:v>20.1880250748619</x:v>
      </x:c>
      <x:c r="S30" s="76" t="n">
        <x:f aca="0">'3_Giả định'!$D$7*(1+'3_Giả định'!$D$8)^16</x:f>
        <x:v>20.5917855763592</x:v>
      </x:c>
      <x:c r="T30" s="76" t="n">
        <x:f aca="0">'3_Giả định'!$D$7*(1+'3_Giả định'!$D$8)^17</x:f>
        <x:v>21.0036212878864</x:v>
      </x:c>
      <x:c r="U30" s="76" t="n">
        <x:f aca="0">'3_Giả định'!$D$7*(1+'3_Giả định'!$D$8)^18</x:f>
        <x:v>21.4236937136441</x:v>
      </x:c>
      <x:c r="V30" s="76" t="n">
        <x:f aca="0">'3_Giả định'!$D$7*(1+'3_Giả định'!$D$8)^19</x:f>
        <x:v>21.852167587917</x:v>
      </x:c>
      <x:c r="W30" s="76" t="n">
        <x:f aca="0">'3_Giả định'!$D$7*(1+'3_Giả định'!$D$8)^20</x:f>
        <x:v>22.2892109396753</x:v>
      </x:c>
      <x:c r="X30" s="76" t="n">
        <x:f aca="0">'3_Giả định'!$D$7*(1+'3_Giả định'!$D$8)^21</x:f>
        <x:v>22.7349951584688</x:v>
      </x:c>
      <x:c r="Y30" s="76" t="n">
        <x:f aca="0">'3_Giả định'!$D$7*(1+'3_Giả định'!$D$8)^22</x:f>
        <x:v>23.1896950616382</x:v>
      </x:c>
      <x:c r="Z30" s="76" t="n">
        <x:f aca="0">'3_Giả định'!$D$7*(1+'3_Giả định'!$D$8)^23</x:f>
        <x:v>23.653488962871</x:v>
      </x:c>
    </x:row>
    <x:row r="31" ht="15" hidden="0" customHeight="1">
      <x:c r="A31" s="46" t="s">
        <x:v>392</x:v>
      </x:c>
      <x:c r="B31" s="1" t="n">
        <x:v>0</x:v>
      </x:c>
      <x:c r="C31" s="76" t="n">
        <x:f aca="0">B31*(1-'3_Giả định'!$D$9)+C30</x:f>
        <x:v>15</x:v>
      </x:c>
      <x:c r="D31" s="76" t="n">
        <x:f aca="0">C31*(1-'3_Giả định'!$D$9)+D30</x:f>
        <x:v>29.1</x:v>
      </x:c>
      <x:c r="E31" s="76" t="n">
        <x:f aca="0">D31*(1-'3_Giả định'!$D$9)+E30</x:f>
        <x:v>42.378</x:v>
      </x:c>
      <x:c r="F31" s="76" t="n">
        <x:f aca="0">E31*(1-'3_Giả định'!$D$9)+F30</x:f>
        <x:v>54.90588</x:v>
      </x:c>
      <x:c r="G31" s="76" t="n">
        <x:f aca="0">F31*(1-'3_Giả định'!$D$9)+G30</x:f>
        <x:v>66.749892</x:v>
      </x:c>
      <x:c r="H31" s="76" t="n">
        <x:f aca="0">G31*(1-'3_Giả định'!$D$9)+H30</x:f>
        <x:v>77.971112688</x:v>
      </x:c>
      <x:c r="I31" s="76" t="n">
        <x:f aca="0">H31*(1-'3_Giả định'!$D$9)+I30</x:f>
        <x:v>88.62585996192</x:v>
      </x:c>
      <x:c r="J31" s="76" t="n">
        <x:f aca="0">I31*(1-'3_Giả định'!$D$9)+J30</x:f>
        <x:v>98.7660761797056</x:v>
      </x:c>
      <x:c r="K31" s="76" t="n">
        <x:f aca="0">J31*(1-'3_Giả định'!$D$9)+K30</x:f>
        <x:v>108.439680800363</x:v>
      </x:c>
      <x:c r="L31" s="76" t="n">
        <x:f aca="0">K31*(1-'3_Giả định'!$D$9)+L30</x:f>
        <x:v>117.690894865669</x:v>
      </x:c>
      <x:c r="M31" s="76" t="n">
        <x:f aca="0">L31*(1-'3_Giả định'!$D$9)+M30</x:f>
        <x:v>126.560539576337</x:v>
      </x:c>
      <x:c r="N31" s="76" t="n">
        <x:f aca="0">M31*(1-'3_Giả định'!$D$9)+N30</x:f>
        <x:v>135.08631103615</x:v>
      </x:c>
      <x:c r="O31" s="76" t="n">
        <x:f aca="0">N31*(1-'3_Giả định'!$D$9)+O30</x:f>
        <x:v>143.303033071696</x:v>
      </x:c>
      <x:c r="P31" s="76" t="n">
        <x:f aca="0">O31*(1-'3_Giả định'!$D$9)+P30</x:f>
        <x:v>151.242889882767</x:v>
      </x:c>
      <x:c r="Q31" s="76" t="n">
        <x:f aca="0">P31*(1-'3_Giả định'!$D$9)+Q30</x:f>
        <x:v>158.935640138089</x:v>
      </x:c>
      <x:c r="R31" s="76" t="n">
        <x:f aca="0">Q31*(1-'3_Giả định'!$D$9)+R30</x:f>
        <x:v>166.408814001904</x:v>
      </x:c>
      <x:c r="S31" s="76" t="n">
        <x:f aca="0">R31*(1-'3_Giả định'!$D$9)+S30</x:f>
        <x:v>173.687894458111</x:v>
      </x:c>
      <x:c r="T31" s="76" t="n">
        <x:f aca="0">S31*(1-'3_Giả định'!$D$9)+T30</x:f>
        <x:v>180.796484189348</x:v>
      </x:c>
      <x:c r="U31" s="76" t="n">
        <x:f aca="0">T31*(1-'3_Giả định'!$D$9)+U30</x:f>
        <x:v>187.756459167844</x:v>
      </x:c>
      <x:c r="V31" s="76" t="n">
        <x:f aca="0">U31*(1-'3_Giả định'!$D$9)+V30</x:f>
        <x:v>194.588110022334</x:v>
      </x:c>
      <x:c r="W31" s="76" t="n">
        <x:f aca="0">V31*(1-'3_Giả định'!$D$9)+W30</x:f>
        <x:v>201.310272160222</x:v>
      </x:c>
      <x:c r="X31" s="76" t="n">
        <x:f aca="0">W31*(1-'3_Giả định'!$D$9)+X30</x:f>
        <x:v>207.940445545873</x:v>
      </x:c>
      <x:c r="Y31" s="76" t="n">
        <x:f aca="0">X31*(1-'3_Giả định'!$D$9)+Y30</x:f>
        <x:v>214.494904963842</x:v>
      </x:c>
      <x:c r="Z31" s="76" t="n">
        <x:f aca="0">Y31*(1-'3_Giả định'!$D$9)+Z30</x:f>
        <x:v>220.988801529605</x:v>
      </x:c>
    </x:row>
    <x:row r="32" ht="15" hidden="0" customHeight="1">
      <x:c r="A32" s="46" t="s">
        <x:v>89</x:v>
      </x:c>
      <x:c r="C32" s="77" t="n">
        <x:f aca="0">C31*'3_Giả định'!$D$17</x:f>
        <x:v>13278000</x:v>
      </x:c>
      <x:c r="D32" s="77" t="n">
        <x:f aca="0">D31*'3_Giả định'!$D$17</x:f>
        <x:v>25759320</x:v>
      </x:c>
      <x:c r="E32" s="77" t="n">
        <x:f aca="0">E31*'3_Giả định'!$D$17</x:f>
        <x:v>37513005.6</x:v>
      </x:c>
      <x:c r="F32" s="77" t="n">
        <x:f aca="0">F31*'3_Giả định'!$D$17</x:f>
        <x:v>48602684.976</x:v>
      </x:c>
      <x:c r="G32" s="77" t="n">
        <x:f aca="0">G31*'3_Giả định'!$D$17</x:f>
        <x:v>59087004.3984</x:v>
      </x:c>
      <x:c r="H32" s="77" t="n">
        <x:f aca="0">H31*'3_Giả định'!$D$17</x:f>
        <x:v>69020028.9514176</x:v>
      </x:c>
      <x:c r="I32" s="77" t="n">
        <x:f aca="0">I31*'3_Giả định'!$D$17</x:f>
        <x:v>78451611.2382916</x:v>
      </x:c>
      <x:c r="J32" s="77" t="n">
        <x:f aca="0">J31*'3_Giả định'!$D$17</x:f>
        <x:v>87427730.6342754</x:v>
      </x:c>
      <x:c r="K32" s="77" t="n">
        <x:f aca="0">K31*'3_Giả định'!$D$17</x:f>
        <x:v>95990805.4444815</x:v>
      </x:c>
      <x:c r="L32" s="77" t="n">
        <x:f aca="0">L31*'3_Giả định'!$D$17</x:f>
        <x:v>104179980.13509</x:v>
      </x:c>
      <x:c r="M32" s="77" t="n">
        <x:f aca="0">M31*'3_Giả định'!$D$17</x:f>
        <x:v>112031389.632973</x:v>
      </x:c>
      <x:c r="N32" s="77" t="n">
        <x:f aca="0">N31*'3_Giả định'!$D$17</x:f>
        <x:v>119578402.5292</x:v>
      </x:c>
      <x:c r="O32" s="77" t="n">
        <x:f aca="0">O31*'3_Giả định'!$D$17</x:f>
        <x:v>126851844.875065</x:v>
      </x:c>
      <x:c r="P32" s="77" t="n">
        <x:f aca="0">P31*'3_Giả định'!$D$17</x:f>
        <x:v>133880206.124225</x:v>
      </x:c>
      <x:c r="Q32" s="77" t="n">
        <x:f aca="0">Q31*'3_Giả định'!$D$17</x:f>
        <x:v>140689828.650236</x:v>
      </x:c>
      <x:c r="R32" s="77" t="n">
        <x:f aca="0">R31*'3_Giả định'!$D$17</x:f>
        <x:v>147305082.154485</x:v>
      </x:c>
      <x:c r="S32" s="77" t="n">
        <x:f aca="0">S31*'3_Giả định'!$D$17</x:f>
        <x:v>153748524.174319</x:v>
      </x:c>
      <x:c r="T32" s="77" t="n">
        <x:f aca="0">T31*'3_Giả định'!$D$17</x:f>
        <x:v>160041047.804411</x:v>
      </x:c>
      <x:c r="U32" s="77" t="n">
        <x:f aca="0">U31*'3_Giả định'!$D$17</x:f>
        <x:v>166202017.655376</x:v>
      </x:c>
      <x:c r="V32" s="77" t="n">
        <x:f aca="0">V31*'3_Giả định'!$D$17</x:f>
        <x:v>172249394.99177</x:v>
      </x:c>
      <x:c r="W32" s="77" t="n">
        <x:f aca="0">W31*'3_Giả định'!$D$17</x:f>
        <x:v>178199852.916229</x:v>
      </x:c>
      <x:c r="X32" s="77" t="n">
        <x:f aca="0">X31*'3_Giả định'!$D$17</x:f>
        <x:v>184068882.397207</x:v>
      </x:c>
      <x:c r="Y32" s="77" t="n">
        <x:f aca="0">Y31*'3_Giả định'!$D$17</x:f>
        <x:v>189870889.873993</x:v>
      </x:c>
      <x:c r="Z32" s="77" t="n">
        <x:f aca="0">Z31*'3_Giả định'!$D$17</x:f>
        <x:v>195619287.114007</x:v>
      </x:c>
    </x:row>
    <x:row r="33" ht="15" hidden="0" customHeight="1">
      <x:c r="A33" s="46" t="s">
        <x:v>393</x:v>
      </x:c>
      <x:c r="C33" s="77" t="n">
        <x:f aca="0">C31*'3_Giả định'!$D$18</x:f>
        <x:v>5243711.04</x:v>
      </x:c>
      <x:c r="D33" s="77" t="n">
        <x:f aca="0">D31*'3_Giả định'!$D$18</x:f>
        <x:v>10172799.4176</x:v>
      </x:c>
      <x:c r="E33" s="77" t="n">
        <x:f aca="0">E31*'3_Giả định'!$D$18</x:f>
        <x:v>14814532.430208</x:v>
      </x:c>
      <x:c r="F33" s="77" t="n">
        <x:f aca="0">F31*'3_Giả định'!$D$18</x:f>
        <x:v>19194037.9411277</x:v>
      </x:c>
      <x:c r="G33" s="77" t="n">
        <x:f aca="0">G31*'3_Giả định'!$D$18</x:f>
        <x:v>23334476.3732805</x:v>
      </x:c>
      <x:c r="H33" s="77" t="n">
        <x:f aca="0">H31*'3_Giả định'!$D$18</x:f>
        <x:v>27257198.96021</x:v>
      </x:c>
      <x:c r="I33" s="77" t="n">
        <x:f aca="0">I31*'3_Giả định'!$D$18</x:f>
        <x:v>30981893.3541209</x:v>
      </x:c>
      <x:c r="J33" s="77" t="n">
        <x:f aca="0">J31*'3_Giả định'!$D$18</x:f>
        <x:v>34526717.6027336</x:v>
      </x:c>
      <x:c r="K33" s="77" t="n">
        <x:f aca="0">K31*'3_Giả định'!$D$18</x:f>
        <x:v>37908423.425796</x:v>
      </x:c>
      <x:c r="L33" s="77" t="n">
        <x:f aca="0">L31*'3_Giả định'!$D$18</x:f>
        <x:v>41142469.6476391</x:v>
      </x:c>
      <x:c r="M33" s="77" t="n">
        <x:f aca="0">M31*'3_Giả định'!$D$18</x:f>
        <x:v>44243126.5736529</x:v>
      </x:c>
      <x:c r="N33" s="77" t="n">
        <x:f aca="0">N31*'3_Giả định'!$D$18</x:f>
        <x:v>47223572.0355421</x:v>
      </x:c>
      <x:c r="O33" s="77" t="n">
        <x:f aca="0">O31*'3_Giả định'!$D$18</x:f>
        <x:v>50095979.7722357</x:v>
      </x:c>
      <x:c r="P33" s="77" t="n">
        <x:f aca="0">P31*'3_Giả định'!$D$18</x:f>
        <x:v>52871600.7599847</x:v>
      </x:c>
      <x:c r="Q33" s="77" t="n">
        <x:f aca="0">Q31*'3_Giả định'!$D$18</x:f>
        <x:v>55560838.0561042</x:v>
      </x:c>
      <x:c r="R33" s="77" t="n">
        <x:f aca="0">R31*'3_Giả định'!$D$18</x:f>
        <x:v>58173315.6756726</x:v>
      </x:c>
      <x:c r="S33" s="77" t="n">
        <x:f aca="0">S31*'3_Giả định'!$D$18</x:f>
        <x:v>60717941.9789566</x:v>
      </x:c>
      <x:c r="T33" s="77" t="n">
        <x:f aca="0">T31*'3_Giả định'!$D$18</x:f>
        <x:v>63202968.0091247</x:v>
      </x:c>
      <x:c r="U33" s="77" t="n">
        <x:f aca="0">U31*'3_Giả định'!$D$18</x:f>
        <x:v>65636041.184649</x:v>
      </x:c>
      <x:c r="V33" s="77" t="n">
        <x:f aca="0">V31*'3_Giả định'!$D$18</x:f>
        <x:v>68024254.7184564</x:v>
      </x:c>
      <x:c r="W33" s="77" t="n">
        <x:f aca="0">W31*'3_Giả định'!$D$18</x:f>
        <x:v>70374193.1061308</x:v>
      </x:c>
      <x:c r="X33" s="77" t="n">
        <x:f aca="0">X31*'3_Giả định'!$D$18</x:f>
        <x:v>72691973.9980944</x:v>
      </x:c>
      <x:c r="Y33" s="77" t="n">
        <x:f aca="0">Y31*'3_Giả định'!$D$18</x:f>
        <x:v>74983286.7455099</x:v>
      </x:c>
      <x:c r="Z33" s="77" t="n">
        <x:f aca="0">Z31*'3_Giả định'!$D$18</x:f>
        <x:v>77253427.8864774</x:v>
      </x:c>
    </x:row>
    <x:row r="34" ht="15" hidden="0" customHeight="1">
      <x:c r="A34" s="46" t="s">
        <x:v>91</x:v>
      </x:c>
      <x:c r="C34" s="77" t="n">
        <x:f aca="0">C32-C33</x:f>
        <x:v>8034288.96</x:v>
      </x:c>
      <x:c r="D34" s="77" t="n">
        <x:f aca="0">D32-D33</x:f>
        <x:v>15586520.5824</x:v>
      </x:c>
      <x:c r="E34" s="77" t="n">
        <x:f aca="0">E32-E33</x:f>
        <x:v>22698473.169792</x:v>
      </x:c>
      <x:c r="F34" s="77" t="n">
        <x:f aca="0">F32-F33</x:f>
        <x:v>29408647.0348723</x:v>
      </x:c>
      <x:c r="G34" s="77" t="n">
        <x:f aca="0">G32-G33</x:f>
        <x:v>35752528.0251195</x:v>
      </x:c>
      <x:c r="H34" s="77" t="n">
        <x:f aca="0">H32-H33</x:f>
        <x:v>41762829.9912076</x:v>
      </x:c>
      <x:c r="I34" s="77" t="n">
        <x:f aca="0">I32-I33</x:f>
        <x:v>47469717.8841707</x:v>
      </x:c>
      <x:c r="J34" s="77" t="n">
        <x:f aca="0">J32-J33</x:f>
        <x:v>52901013.0315419</x:v>
      </x:c>
      <x:c r="K34" s="77" t="n">
        <x:f aca="0">K32-K33</x:f>
        <x:v>58082382.0186854</x:v>
      </x:c>
      <x:c r="L34" s="77" t="n">
        <x:f aca="0">L32-L33</x:f>
        <x:v>63037510.4874509</x:v>
      </x:c>
      <x:c r="M34" s="77" t="n">
        <x:f aca="0">M32-M33</x:f>
        <x:v>67788263.0593203</x:v>
      </x:c>
      <x:c r="N34" s="77" t="n">
        <x:f aca="0">N32-N33</x:f>
        <x:v>72354830.4936575</x:v>
      </x:c>
      <x:c r="O34" s="77" t="n">
        <x:f aca="0">O32-O33</x:f>
        <x:v>76755865.1028293</x:v>
      </x:c>
      <x:c r="P34" s="77" t="n">
        <x:f aca="0">P32-P33</x:f>
        <x:v>81008605.3642407</x:v>
      </x:c>
      <x:c r="Q34" s="77" t="n">
        <x:f aca="0">Q32-Q33</x:f>
        <x:v>85128990.594132</x:v>
      </x:c>
      <x:c r="R34" s="77" t="n">
        <x:f aca="0">R32-R33</x:f>
        <x:v>89131766.4788125</x:v>
      </x:c>
      <x:c r="S34" s="77" t="n">
        <x:f aca="0">S32-S33</x:f>
        <x:v>93030582.1953629</x:v>
      </x:c>
      <x:c r="T34" s="77" t="n">
        <x:f aca="0">T32-T33</x:f>
        <x:v>96838079.7952863</x:v>
      </x:c>
      <x:c r="U34" s="77" t="n">
        <x:f aca="0">U32-U33</x:f>
        <x:v>100565976.470727</x:v>
      </x:c>
      <x:c r="V34" s="77" t="n">
        <x:f aca="0">V32-V33</x:f>
        <x:v>104225140.273313</x:v>
      </x:c>
      <x:c r="W34" s="77" t="n">
        <x:f aca="0">W32-W33</x:f>
        <x:v>107825659.810098</x:v>
      </x:c>
      <x:c r="X34" s="77" t="n">
        <x:f aca="0">X32-X33</x:f>
        <x:v>111376908.399113</x:v>
      </x:c>
      <x:c r="Y34" s="77" t="n">
        <x:f aca="0">Y32-Y33</x:f>
        <x:v>114887603.128483</x:v>
      </x:c>
      <x:c r="Z34" s="77" t="n">
        <x:f aca="0">Z32-Z33</x:f>
        <x:v>118365859.227529</x:v>
      </x:c>
    </x:row>
    <x:row r="35" ht="15" hidden="0" customHeight="1">
      <x:c r="A35" s="46" t="s">
        <x:v>394</x:v>
      </x:c>
      <x:c r="C35" s="77" t="n">
        <x:f aca="0">C30*'3_Giả định'!$D$10</x:f>
        <x:v>34500000</x:v>
      </x:c>
      <x:c r="D35" s="77" t="n">
        <x:f aca="0">D30*'3_Giả định'!$D$10</x:f>
        <x:v>35190000</x:v>
      </x:c>
      <x:c r="E35" s="77" t="n">
        <x:f aca="0">E30*'3_Giả định'!$D$10</x:f>
        <x:v>35893800</x:v>
      </x:c>
      <x:c r="F35" s="77" t="n">
        <x:f aca="0">F30*'3_Giả định'!$D$10</x:f>
        <x:v>36611676</x:v>
      </x:c>
      <x:c r="G35" s="77" t="n">
        <x:f aca="0">G30*'3_Giả định'!$D$10</x:f>
        <x:v>37343909.52</x:v>
      </x:c>
      <x:c r="H35" s="77" t="n">
        <x:f aca="0">H30*'3_Giả định'!$D$10</x:f>
        <x:v>38090787.7104</x:v>
      </x:c>
      <x:c r="I35" s="77" t="n">
        <x:f aca="0">I30*'3_Giả định'!$D$10</x:f>
        <x:v>38852603.464608</x:v>
      </x:c>
      <x:c r="J35" s="77" t="n">
        <x:f aca="0">J30*'3_Giả định'!$D$10</x:f>
        <x:v>39629655.5339002</x:v>
      </x:c>
      <x:c r="K35" s="77" t="n">
        <x:f aca="0">K30*'3_Giả định'!$D$10</x:f>
        <x:v>40422248.6445782</x:v>
      </x:c>
      <x:c r="L35" s="77" t="n">
        <x:f aca="0">L30*'3_Giả định'!$D$10</x:f>
        <x:v>41230693.6174697</x:v>
      </x:c>
      <x:c r="M35" s="77" t="n">
        <x:f aca="0">M30*'3_Giả định'!$D$10</x:f>
        <x:v>42055307.4898191</x:v>
      </x:c>
      <x:c r="N35" s="77" t="n">
        <x:f aca="0">N30*'3_Giả định'!$D$10</x:f>
        <x:v>42896413.6396155</x:v>
      </x:c>
      <x:c r="O35" s="77" t="n">
        <x:f aca="0">O30*'3_Giả định'!$D$10</x:f>
        <x:v>43754341.9124078</x:v>
      </x:c>
      <x:c r="P35" s="77" t="n">
        <x:f aca="0">P30*'3_Giả định'!$D$10</x:f>
        <x:v>44629428.750656</x:v>
      </x:c>
      <x:c r="Q35" s="77" t="n">
        <x:f aca="0">Q30*'3_Giả định'!$D$10</x:f>
        <x:v>45522017.3256691</x:v>
      </x:c>
      <x:c r="R35" s="77" t="n">
        <x:f aca="0">R30*'3_Giả định'!$D$10</x:f>
        <x:v>46432457.6721825</x:v>
      </x:c>
      <x:c r="S35" s="77" t="n">
        <x:f aca="0">S30*'3_Giả định'!$D$10</x:f>
        <x:v>47361106.8256261</x:v>
      </x:c>
      <x:c r="T35" s="77" t="n">
        <x:f aca="0">T30*'3_Giả định'!$D$10</x:f>
        <x:v>48308328.9621387</x:v>
      </x:c>
      <x:c r="U35" s="77" t="n">
        <x:f aca="0">U30*'3_Giả định'!$D$10</x:f>
        <x:v>49274495.5413814</x:v>
      </x:c>
      <x:c r="V35" s="77" t="n">
        <x:f aca="0">V30*'3_Giả định'!$D$10</x:f>
        <x:v>50259985.4522091</x:v>
      </x:c>
      <x:c r="W35" s="77" t="n">
        <x:f aca="0">W30*'3_Giả định'!$D$10</x:f>
        <x:v>51265185.1612532</x:v>
      </x:c>
      <x:c r="X35" s="77" t="n">
        <x:f aca="0">X30*'3_Giả định'!$D$10</x:f>
        <x:v>52290488.8644783</x:v>
      </x:c>
      <x:c r="Y35" s="77" t="n">
        <x:f aca="0">Y30*'3_Giả định'!$D$10</x:f>
        <x:v>53336298.6417679</x:v>
      </x:c>
      <x:c r="Z35" s="77" t="n">
        <x:f aca="0">Z30*'3_Giả định'!$D$10</x:f>
        <x:v>54403024.6146032</x:v>
      </x:c>
    </x:row>
    <x:row r="36" ht="15" hidden="0" customHeight="1">
      <x:c r="A36" s="46" t="s">
        <x:v>395</x:v>
      </x:c>
      <x:c r="C36" s="77" t="n">
        <x:f aca="0">'3_Giả định'!$D$11</x:f>
        <x:v>150000000</x:v>
      </x:c>
      <x:c r="D36" s="77" t="n">
        <x:f aca="0">'3_Giả định'!$D$11</x:f>
        <x:v>150000000</x:v>
      </x:c>
      <x:c r="E36" s="77" t="n">
        <x:f aca="0">'3_Giả định'!$D$11</x:f>
        <x:v>150000000</x:v>
      </x:c>
      <x:c r="F36" s="77" t="n">
        <x:f aca="0">'3_Giả định'!$D$11</x:f>
        <x:v>150000000</x:v>
      </x:c>
      <x:c r="G36" s="77" t="n">
        <x:f aca="0">'3_Giả định'!$D$11</x:f>
        <x:v>150000000</x:v>
      </x:c>
      <x:c r="H36" s="77" t="n">
        <x:f aca="0">'3_Giả định'!$D$11</x:f>
        <x:v>150000000</x:v>
      </x:c>
      <x:c r="I36" s="77" t="n">
        <x:f aca="0">'3_Giả định'!$D$11</x:f>
        <x:v>150000000</x:v>
      </x:c>
      <x:c r="J36" s="77" t="n">
        <x:f aca="0">'3_Giả định'!$D$11</x:f>
        <x:v>150000000</x:v>
      </x:c>
      <x:c r="K36" s="77" t="n">
        <x:f aca="0">'3_Giả định'!$D$11</x:f>
        <x:v>150000000</x:v>
      </x:c>
      <x:c r="L36" s="77" t="n">
        <x:f aca="0">'3_Giả định'!$D$11</x:f>
        <x:v>150000000</x:v>
      </x:c>
      <x:c r="M36" s="77" t="n">
        <x:f aca="0">'3_Giả định'!$D$11</x:f>
        <x:v>150000000</x:v>
      </x:c>
      <x:c r="N36" s="77" t="n">
        <x:f aca="0">'3_Giả định'!$D$11</x:f>
        <x:v>150000000</x:v>
      </x:c>
      <x:c r="O36" s="77" t="n">
        <x:f aca="0">'3_Giả định'!$D$11</x:f>
        <x:v>150000000</x:v>
      </x:c>
      <x:c r="P36" s="77" t="n">
        <x:f aca="0">'3_Giả định'!$D$11</x:f>
        <x:v>150000000</x:v>
      </x:c>
      <x:c r="Q36" s="77" t="n">
        <x:f aca="0">'3_Giả định'!$D$11</x:f>
        <x:v>150000000</x:v>
      </x:c>
      <x:c r="R36" s="77" t="n">
        <x:f aca="0">'3_Giả định'!$D$11</x:f>
        <x:v>150000000</x:v>
      </x:c>
      <x:c r="S36" s="77" t="n">
        <x:f aca="0">'3_Giả định'!$D$11</x:f>
        <x:v>150000000</x:v>
      </x:c>
      <x:c r="T36" s="77" t="n">
        <x:f aca="0">'3_Giả định'!$D$11</x:f>
        <x:v>150000000</x:v>
      </x:c>
      <x:c r="U36" s="77" t="n">
        <x:f aca="0">'3_Giả định'!$D$11</x:f>
        <x:v>150000000</x:v>
      </x:c>
      <x:c r="V36" s="77" t="n">
        <x:f aca="0">'3_Giả định'!$D$11</x:f>
        <x:v>150000000</x:v>
      </x:c>
      <x:c r="W36" s="77" t="n">
        <x:f aca="0">'3_Giả định'!$D$11</x:f>
        <x:v>150000000</x:v>
      </x:c>
      <x:c r="X36" s="77" t="n">
        <x:f aca="0">'3_Giả định'!$D$11</x:f>
        <x:v>150000000</x:v>
      </x:c>
      <x:c r="Y36" s="77" t="n">
        <x:f aca="0">'3_Giả định'!$D$11</x:f>
        <x:v>150000000</x:v>
      </x:c>
      <x:c r="Z36" s="77" t="n">
        <x:f aca="0">'3_Giả định'!$D$11</x:f>
        <x:v>150000000</x:v>
      </x:c>
    </x:row>
    <x:row r="37" ht="15" hidden="0" customHeight="1">
      <x:c r="A37" s="46" t="s">
        <x:v>396</x:v>
      </x:c>
      <x:c r="B37" s="77" t="n">
        <x:f aca="0">-'3_Giả định'!$D$12</x:f>
        <x:v>-600000000</x:v>
      </x:c>
      <x:c r="C37" s="77" t="n">
        <x:f aca="0">C34-C35-C36</x:f>
        <x:v>-176465711.04</x:v>
      </x:c>
      <x:c r="D37" s="77" t="n">
        <x:f aca="0">D34-D35-D36</x:f>
        <x:v>-169603479.4176</x:v>
      </x:c>
      <x:c r="E37" s="77" t="n">
        <x:f aca="0">E34-E35-E36</x:f>
        <x:v>-163195326.830208</x:v>
      </x:c>
      <x:c r="F37" s="77" t="n">
        <x:f aca="0">F34-F35-F36</x:f>
        <x:v>-157203028.965128</x:v>
      </x:c>
      <x:c r="G37" s="77" t="n">
        <x:f aca="0">G34-G35-G36</x:f>
        <x:v>-151591381.494881</x:v>
      </x:c>
      <x:c r="H37" s="77" t="n">
        <x:f aca="0">H34-H35-H36</x:f>
        <x:v>-146327957.719192</x:v>
      </x:c>
      <x:c r="I37" s="77" t="n">
        <x:f aca="0">I34-I35-I36</x:f>
        <x:v>-141382885.580437</x:v>
      </x:c>
      <x:c r="J37" s="77" t="n">
        <x:f aca="0">J34-J35-J36</x:f>
        <x:v>-136728642.502358</x:v>
      </x:c>
      <x:c r="K37" s="77" t="n">
        <x:f aca="0">K34-K35-K36</x:f>
        <x:v>-132339866.625893</x:v>
      </x:c>
      <x:c r="L37" s="77" t="n">
        <x:f aca="0">L34-L35-L36</x:f>
        <x:v>-128193183.130019</x:v>
      </x:c>
      <x:c r="M37" s="77" t="n">
        <x:f aca="0">M34-M35-M36</x:f>
        <x:v>-124267044.430499</x:v>
      </x:c>
      <x:c r="N37" s="77" t="n">
        <x:f aca="0">N34-N35-N36</x:f>
        <x:v>-120541583.145958</x:v>
      </x:c>
      <x:c r="O37" s="77" t="n">
        <x:f aca="0">O34-O35-O36</x:f>
        <x:v>-116998476.809578</x:v>
      </x:c>
      <x:c r="P37" s="77" t="n">
        <x:f aca="0">P34-P35-P36</x:f>
        <x:v>-113620823.386415</x:v>
      </x:c>
      <x:c r="Q37" s="77" t="n">
        <x:f aca="0">Q34-Q35-Q36</x:f>
        <x:v>-110393026.731537</x:v>
      </x:c>
      <x:c r="R37" s="77" t="n">
        <x:f aca="0">R34-R35-R36</x:f>
        <x:v>-107300691.19337</x:v>
      </x:c>
      <x:c r="S37" s="77" t="n">
        <x:f aca="0">S34-S35-S36</x:f>
        <x:v>-104330524.630263</x:v>
      </x:c>
      <x:c r="T37" s="77" t="n">
        <x:f aca="0">T34-T35-T36</x:f>
        <x:v>-101470249.166852</x:v>
      </x:c>
      <x:c r="U37" s="77" t="n">
        <x:f aca="0">U34-U35-U36</x:f>
        <x:v>-98708519.0706546</x:v>
      </x:c>
      <x:c r="V37" s="77" t="n">
        <x:f aca="0">V34-V35-V36</x:f>
        <x:v>-96034845.1788956</x:v>
      </x:c>
      <x:c r="W37" s="77" t="n">
        <x:f aca="0">W34-W35-W36</x:f>
        <x:v>-93439525.3511552</x:v>
      </x:c>
      <x:c r="X37" s="77" t="n">
        <x:f aca="0">X34-X35-X36</x:f>
        <x:v>-90913580.4653655</x:v>
      </x:c>
      <x:c r="Y37" s="77" t="n">
        <x:f aca="0">Y34-Y35-Y36</x:f>
        <x:v>-88448695.513285</x:v>
      </x:c>
      <x:c r="Z37" s="77" t="n">
        <x:f aca="0">Z34-Z35-Z36</x:f>
        <x:v>-86037165.3870739</x:v>
      </x:c>
    </x:row>
    <x:row r="38" ht="15" hidden="0" customHeight="1">
      <x:c r="A38" s="46" t="s">
        <x:v>397</x:v>
      </x:c>
      <x:c r="B38" s="77" t="n">
        <x:f aca="0">'3_Giả định'!$D$13+B37</x:f>
        <x:v>1400000000</x:v>
      </x:c>
      <x:c r="C38" s="77" t="n">
        <x:f aca="0">B38+C37</x:f>
        <x:v>1223534288.96</x:v>
      </x:c>
      <x:c r="D38" s="77" t="n">
        <x:f aca="0">C38+D37</x:f>
        <x:v>1053930809.5424</x:v>
      </x:c>
      <x:c r="E38" s="77" t="n">
        <x:f aca="0">D38+E37</x:f>
        <x:v>890735482.712192</x:v>
      </x:c>
      <x:c r="F38" s="77" t="n">
        <x:f aca="0">E38+F37</x:f>
        <x:v>733532453.747064</x:v>
      </x:c>
      <x:c r="G38" s="77" t="n">
        <x:f aca="0">F38+G37</x:f>
        <x:v>581941072.252184</x:v>
      </x:c>
      <x:c r="H38" s="77" t="n">
        <x:f aca="0">G38+H37</x:f>
        <x:v>435613114.532992</x:v>
      </x:c>
      <x:c r="I38" s="77" t="n">
        <x:f aca="0">H38+I37</x:f>
        <x:v>294230228.952554</x:v>
      </x:c>
      <x:c r="J38" s="77" t="n">
        <x:f aca="0">I38+J37</x:f>
        <x:v>157501586.450196</x:v>
      </x:c>
      <x:c r="K38" s="77" t="n">
        <x:f aca="0">J38+K37</x:f>
        <x:v>25161719.8243031</x:v>
      </x:c>
      <x:c r="L38" s="77" t="n">
        <x:f aca="0">K38+L37</x:f>
        <x:v>-103031463.305716</x:v>
      </x:c>
      <x:c r="M38" s="77" t="n">
        <x:f aca="0">L38+M37</x:f>
        <x:v>-227298507.736215</x:v>
      </x:c>
      <x:c r="N38" s="77" t="n">
        <x:f aca="0">M38+N37</x:f>
        <x:v>-347840090.882173</x:v>
      </x:c>
      <x:c r="O38" s="77" t="n">
        <x:f aca="0">N38+O37</x:f>
        <x:v>-464838567.691751</x:v>
      </x:c>
      <x:c r="P38" s="77" t="n">
        <x:f aca="0">O38+P37</x:f>
        <x:v>-578459391.078166</x:v>
      </x:c>
      <x:c r="Q38" s="77" t="n">
        <x:f aca="0">P38+Q37</x:f>
        <x:v>-688852417.809703</x:v>
      </x:c>
      <x:c r="R38" s="77" t="n">
        <x:f aca="0">Q38+R37</x:f>
        <x:v>-796153109.003073</x:v>
      </x:c>
      <x:c r="S38" s="77" t="n">
        <x:f aca="0">R38+S37</x:f>
        <x:v>-900483633.633337</x:v>
      </x:c>
      <x:c r="T38" s="77" t="n">
        <x:f aca="0">S38+T37</x:f>
        <x:v>-1001953882.80019</x:v>
      </x:c>
      <x:c r="U38" s="77" t="n">
        <x:f aca="0">T38+U37</x:f>
        <x:v>-1100662401.87084</x:v>
      </x:c>
      <x:c r="V38" s="77" t="n">
        <x:f aca="0">U38+V37</x:f>
        <x:v>-1196697247.04974</x:v>
      </x:c>
      <x:c r="W38" s="77" t="n">
        <x:f aca="0">V38+W37</x:f>
        <x:v>-1290136772.40089</x:v>
      </x:c>
      <x:c r="X38" s="77" t="n">
        <x:f aca="0">W38+X37</x:f>
        <x:v>-1381050352.86626</x:v>
      </x:c>
      <x:c r="Y38" s="77" t="n">
        <x:f aca="0">X38+Y37</x:f>
        <x:v>-1469499048.37954</x:v>
      </x:c>
      <x:c r="Z38" s="77" t="n">
        <x:f aca="0">Y38+Z37</x:f>
        <x:v>-1555536213.76662</x:v>
      </x:c>
    </x:row>
    <x:row r="39" ht="15" hidden="0" customHeight="1">
      <x:c r="A39" s="46" t="s">
        <x:v>398</x:v>
      </x:c>
      <x:c r="B39" s="77" t="n">
        <x:f aca="0">B37</x:f>
        <x:v>-600000000</x:v>
      </x:c>
      <x:c r="C39" s="77" t="n">
        <x:f aca="0">B39+C37</x:f>
        <x:v>-776465711.04</x:v>
      </x:c>
      <x:c r="D39" s="77" t="n">
        <x:f aca="0">C39+D37</x:f>
        <x:v>-946069190.4576</x:v>
      </x:c>
      <x:c r="E39" s="77" t="n">
        <x:f aca="0">D39+E37</x:f>
        <x:v>-1109264517.28781</x:v>
      </x:c>
      <x:c r="F39" s="77" t="n">
        <x:f aca="0">E39+F37</x:f>
        <x:v>-1266467546.25294</x:v>
      </x:c>
      <x:c r="G39" s="77" t="n">
        <x:f aca="0">F39+G37</x:f>
        <x:v>-1418058927.74782</x:v>
      </x:c>
      <x:c r="H39" s="77" t="n">
        <x:f aca="0">G39+H37</x:f>
        <x:v>-1564386885.46701</x:v>
      </x:c>
      <x:c r="I39" s="77" t="n">
        <x:f aca="0">H39+I37</x:f>
        <x:v>-1705769771.04745</x:v>
      </x:c>
      <x:c r="J39" s="77" t="n">
        <x:f aca="0">I39+J37</x:f>
        <x:v>-1842498413.5498</x:v>
      </x:c>
      <x:c r="K39" s="77" t="n">
        <x:f aca="0">J39+K37</x:f>
        <x:v>-1974838280.1757</x:v>
      </x:c>
      <x:c r="L39" s="77" t="n">
        <x:f aca="0">K39+L37</x:f>
        <x:v>-2103031463.30572</x:v>
      </x:c>
      <x:c r="M39" s="77" t="n">
        <x:f aca="0">L39+M37</x:f>
        <x:v>-2227298507.73621</x:v>
      </x:c>
      <x:c r="N39" s="77" t="n">
        <x:f aca="0">M39+N37</x:f>
        <x:v>-2347840090.88217</x:v>
      </x:c>
      <x:c r="O39" s="77" t="n">
        <x:f aca="0">N39+O37</x:f>
        <x:v>-2464838567.69175</x:v>
      </x:c>
      <x:c r="P39" s="77" t="n">
        <x:f aca="0">O39+P37</x:f>
        <x:v>-2578459391.07817</x:v>
      </x:c>
      <x:c r="Q39" s="77" t="n">
        <x:f aca="0">P39+Q37</x:f>
        <x:v>-2688852417.8097</x:v>
      </x:c>
      <x:c r="R39" s="77" t="n">
        <x:f aca="0">Q39+R37</x:f>
        <x:v>-2796153109.00307</x:v>
      </x:c>
      <x:c r="S39" s="77" t="n">
        <x:f aca="0">R39+S37</x:f>
        <x:v>-2900483633.63334</x:v>
      </x:c>
      <x:c r="T39" s="77" t="n">
        <x:f aca="0">S39+T37</x:f>
        <x:v>-3001953882.80019</x:v>
      </x:c>
      <x:c r="U39" s="77" t="n">
        <x:f aca="0">T39+U37</x:f>
        <x:v>-3100662401.87084</x:v>
      </x:c>
      <x:c r="V39" s="77" t="n">
        <x:f aca="0">U39+V37</x:f>
        <x:v>-3196697247.04974</x:v>
      </x:c>
      <x:c r="W39" s="77" t="n">
        <x:f aca="0">V39+W37</x:f>
        <x:v>-3290136772.40089</x:v>
      </x:c>
      <x:c r="X39" s="77" t="n">
        <x:f aca="0">W39+X37</x:f>
        <x:v>-3381050352.86626</x:v>
      </x:c>
      <x:c r="Y39" s="77" t="n">
        <x:f aca="0">X39+Y37</x:f>
        <x:v>-3469499048.37954</x:v>
      </x:c>
      <x:c r="Z39" s="77" t="n">
        <x:f aca="0">Y39+Z37</x:f>
        <x:v>-3555536213.76662</x:v>
      </x:c>
    </x:row>
    <x:row r="42" ht="15" hidden="0" customHeight="1">
      <x:c r="A42" s="78" t="s">
        <x:v>401</x:v>
      </x:c>
    </x:row>
    <x:row r="43" ht="26.25" hidden="0" customHeight="1">
      <x:c r="A43" s="15" t="s">
        <x:v>350</x:v>
      </x:c>
      <x:c r="B43" s="15" t="s">
        <x:v>304</x:v>
      </x:c>
      <x:c r="C43" s="15" t="s">
        <x:v>305</x:v>
      </x:c>
      <x:c r="D43" s="15" t="s">
        <x:v>306</x:v>
      </x:c>
      <x:c r="E43" s="15" t="s">
        <x:v>351</x:v>
      </x:c>
    </x:row>
    <x:row r="44" ht="31.5" hidden="0" customHeight="1">
      <x:c r="A44" s="11" t="s">
        <x:v>402</x:v>
      </x:c>
      <x:c r="B44" s="47" t="n">
        <x:f aca="0">B13+NPV('3_Giả định'!$B$14/12,C13:Z13)</x:f>
        <x:v>9170277441.32396</x:v>
      </x:c>
      <x:c r="C44" s="47" t="n">
        <x:f aca="0">B25+NPV('3_Giả định'!$C$14/12,C25:Z25)</x:f>
        <x:v>1265447717.0087</x:v>
      </x:c>
      <x:c r="D44" s="47" t="n">
        <x:f aca="0">B37+NPV('3_Giả định'!$D$14/12,C37:Z37)</x:f>
        <x:v>-3186591034.61544</x:v>
      </x:c>
      <x:c r="E44" s="1" t="s">
        <x:v>403</x:v>
      </x:c>
    </x:row>
    <x:row r="45" ht="15" hidden="0" customHeight="1">
      <x:c r="A45" s="46" t="s">
        <x:v>404</x:v>
      </x:c>
      <x:c r="B45" s="50" t="n">
        <x:f aca="0">IFERROR((1+IRR(B13:Z13,0.01))^12-1,"Không tính được")</x:f>
        <x:v>5.42524653879094</x:v>
      </x:c>
      <x:c r="C45" s="50" t="n">
        <x:f aca="0">IFERROR((1+IRR(B25:Z25,0.01))^12-1,"Không tính được")</x:f>
        <x:v>0.854626269330109</x:v>
      </x:c>
      <x:c r="D45" s="50" t="str">
        <x:f aca="0">IFERROR((1+IRR(B37:Z37,0.01))^12-1,"Không tính được")</x:f>
        <x:v>Không tính được</x:v>
      </x:c>
      <x:c r="E45" s="1" t="s">
        <x:v>405</x:v>
      </x:c>
      <x:c r="F45" s="51" t="s">
        <x:v>406</x:v>
      </x:c>
    </x:row>
    <x:row r="46" ht="15" hidden="0" customHeight="1">
      <x:c r="A46" s="46" t="s">
        <x:v>407</x:v>
      </x:c>
      <x:c r="B46" s="47" t="n">
        <x:f aca="0">MIN(B14:Z14)</x:f>
        <x:v>982472797.342088</x:v>
      </x:c>
      <x:c r="C46" s="47" t="n">
        <x:f aca="0">MIN(B26:Z26)</x:f>
        <x:v>658403757.460736</x:v>
      </x:c>
      <x:c r="D46" s="47" t="n">
        <x:f aca="0">MIN(B38:Z38)</x:f>
        <x:v>-1555536213.76662</x:v>
      </x:c>
      <x:c r="E46" s="1" t="s">
        <x:v>403</x:v>
      </x:c>
    </x:row>
    <x:row r="47" ht="15" hidden="0" customHeight="1">
      <x:c r="A47" s="46" t="s">
        <x:v>408</x:v>
      </x:c>
      <x:c r="B47" s="79" t="str">
        <x:f aca="0">IF('3_Giả định'!B7=0,"Chưa điền",IFERROR(MATCH(TRUE(),INDEX(C14:Z14&lt;0,0),0),"Không hết tiền trong 24 tháng"))</x:f>
        <x:v>Không hết tiền trong 24 tháng</x:v>
      </x:c>
      <x:c r="C47" s="79" t="str">
        <x:f aca="0">IF('3_Giả định'!C7=0,"Chưa điền",IFERROR(MATCH(TRUE(),INDEX(C26:Z26&lt;0,0),0),"Không hết tiền trong 24 tháng"))</x:f>
        <x:v>Không hết tiền trong 24 tháng</x:v>
      </x:c>
      <x:c r="D47" s="79" t="n">
        <x:f aca="0">IF('3_Giả định'!D7=0,"Chưa điền",IFERROR(MATCH(TRUE(),INDEX(C38:Z38&lt;0,0),0),"Không hết tiền trong 24 tháng"))</x:f>
        <x:v>10</x:v>
      </x:c>
      <x:c r="E47" s="1" t="s">
        <x:v>409</x:v>
      </x:c>
      <x:c r="F47" s="51" t="s">
        <x:v>410</x:v>
      </x:c>
    </x:row>
    <x:row r="48" ht="15" hidden="0" customHeight="1">
      <x:c r="A48" s="46" t="s">
        <x:v>411</x:v>
      </x:c>
      <x:c r="B48" s="79" t="n">
        <x:f aca="0">IF('3_Giả định'!B7=0,"Chưa điền",IFERROR(MATCH(TRUE(),INDEX(C15:Z15&gt;=0,0),0),"Chưa hoàn vốn trong 24 tháng"))</x:f>
        <x:v>12</x:v>
      </x:c>
      <x:c r="C48" s="79" t="n">
        <x:f aca="0">IF('3_Giả định'!C7=0,"Chưa điền",IFERROR(MATCH(TRUE(),INDEX(C27:Z27&gt;=0,0),0),"Chưa hoàn vốn trong 24 tháng"))</x:f>
        <x:v>19</x:v>
      </x:c>
      <x:c r="D48" s="79" t="str">
        <x:f aca="0">IF('3_Giả định'!D7=0,"Chưa điền",IFERROR(MATCH(TRUE(),INDEX(C39:Z39&gt;=0,0),0),"Chưa hoàn vốn trong 24 tháng"))</x:f>
        <x:v>Chưa hoàn vốn trong 24 tháng</x:v>
      </x:c>
      <x:c r="E48" s="1" t="s">
        <x:v>412</x:v>
      </x:c>
    </x:row>
    <x:row r="49" ht="15" hidden="0" customHeight="1">
      <x:c r="A49" s="46" t="s">
        <x:v>413</x:v>
      </x:c>
      <x:c r="B49" s="59" t="n">
        <x:f aca="0">Z7</x:f>
        <x:v>2130.82309648305</x:v>
      </x:c>
      <x:c r="C49" s="59" t="n">
        <x:f aca="0">Z19</x:f>
        <x:v>879.933275812478</x:v>
      </x:c>
      <x:c r="D49" s="59" t="n">
        <x:f aca="0">Z31</x:f>
        <x:v>220.988801529605</x:v>
      </x:c>
    </x:row>
    <x:row r="50" ht="15" hidden="0" customHeight="1">
      <x:c r="A50" s="46" t="s">
        <x:v>414</x:v>
      </x:c>
      <x:c r="B50" s="47" t="n">
        <x:f aca="0">Z8</x:f>
        <x:v>2593531331.88435</x:v>
      </x:c>
      <x:c r="C50" s="47" t="n">
        <x:f aca="0">Z20</x:f>
        <x:v>973646169.686507</x:v>
      </x:c>
      <x:c r="D50" s="47" t="n">
        <x:f aca="0">Z32</x:f>
        <x:v>195619287.114007</x:v>
      </x:c>
    </x:row>
    <x:row r="53" ht="15" hidden="0" customHeight="1">
      <x:c r="A53" s="78" t="s">
        <x:v>415</x:v>
      </x:c>
    </x:row>
    <x:row r="54" ht="15" hidden="0" customHeight="1">
      <x:c r="A54" s="80" t="s">
        <x:v>416</x:v>
      </x:c>
      <x:c r="B54" s="81" t="n">
        <x:v>0.2</x:v>
      </x:c>
      <x:c r="C54" s="51" t="s">
        <x:v>417</x:v>
      </x:c>
    </x:row>
    <x:row r="56" ht="45" hidden="0" customHeight="1">
      <x:c r="A56" s="82" t="s">
        <x:v>418</x:v>
      </x:c>
      <x:c r="B56" s="83" t="s">
        <x:v>419</x:v>
      </x:c>
      <x:c r="C56" s="83" t="s">
        <x:v>420</x:v>
      </x:c>
      <x:c r="D56" s="83" t="s">
        <x:v>421</x:v>
      </x:c>
      <x:c r="E56" s="83" t="s">
        <x:v>422</x:v>
      </x:c>
      <x:c r="F56" s="83" t="s">
        <x:v>408</x:v>
      </x:c>
      <x:c r="G56" s="83" t="s">
        <x:v>423</x:v>
      </x:c>
      <x:c r="H56" s="83" t="s">
        <x:v>424</x:v>
      </x:c>
    </x:row>
    <x:row r="57" ht="27.75" hidden="0" customHeight="1">
      <x:c r="A57" s="5" t="s">
        <x:v>425</x:v>
      </x:c>
      <x:c r="B57" s="84" t="s">
        <x:v>426</x:v>
      </x:c>
      <x:c r="C57" s="84" t="s">
        <x:v>426</x:v>
      </x:c>
      <x:c r="D57" s="85" t="n">
        <x:f aca="0">(B94+NPV($K$80/12,C94:Z94))/1000000</x:f>
        <x:v>1265.4477170087</x:v>
      </x:c>
      <x:c r="E57" s="84" t="s">
        <x:v>426</x:v>
      </x:c>
      <x:c r="F57" s="86" t="str">
        <x:f aca="0">IFERROR(MATCH(TRUE(),INDEX(C95:Z95&lt;0,0),0),"Không hết tiền trong 24 tháng")</x:f>
        <x:v>Không hết tiền trong 24 tháng</x:v>
      </x:c>
      <x:c r="G57" s="86" t="n">
        <x:f aca="0">IFERROR(MATCH(TRUE(),INDEX(C96:Z96&gt;=0,0),0),"Chưa hoàn vốn trong 24 tháng")</x:f>
        <x:v>19</x:v>
      </x:c>
    </x:row>
    <x:row r="58" ht="27.75" hidden="0" customHeight="1">
      <x:c r="A58" s="80" t="s">
        <x:v>427</x:v>
      </x:c>
      <x:c r="B58" s="85" t="n">
        <x:f aca="0">'3_Giả định'!$C$17</x:f>
        <x:v>1106500</x:v>
      </x:c>
      <x:c r="C58" s="85" t="n">
        <x:f aca="0">B81</x:f>
        <x:v>885200</x:v>
      </x:c>
      <x:c r="D58" s="85" t="n">
        <x:f aca="0">(B100+NPV($K$81/12,C100:Z100))/1000000</x:f>
        <x:v>-534.81777529673</x:v>
      </x:c>
      <x:c r="E58" s="85" t="n">
        <x:f aca="0">D58-$D$57</x:f>
        <x:v>-1800.26549230543</x:v>
      </x:c>
      <x:c r="F58" s="86" t="str">
        <x:f aca="0">IFERROR(MATCH(TRUE(),INDEX(C101:Z101&lt;0,0),0),"Không hết tiền trong 24 tháng")</x:f>
        <x:v>Không hết tiền trong 24 tháng</x:v>
      </x:c>
      <x:c r="G58" s="86" t="str">
        <x:f aca="0">IFERROR(MATCH(TRUE(),INDEX(C102:Z102&gt;=0,0),0),"Chưa hoàn vốn trong 24 tháng")</x:f>
        <x:v>Chưa hoàn vốn trong 24 tháng</x:v>
      </x:c>
      <x:c r="H58" s="87" t="n">
        <x:f aca="0">RANK(D58,$D$58:$D$64,1)</x:f>
        <x:v>1</x:v>
      </x:c>
    </x:row>
    <x:row r="59" ht="27.75" hidden="0" customHeight="1">
      <x:c r="A59" s="80" t="s">
        <x:v>428</x:v>
      </x:c>
      <x:c r="B59" s="85" t="n">
        <x:f aca="0">'3_Giả định'!$C$18</x:f>
        <x:v>291317.28</x:v>
      </x:c>
      <x:c r="C59" s="85" t="n">
        <x:f aca="0">C82</x:f>
        <x:v>349580.736</x:v>
      </x:c>
      <x:c r="D59" s="85" t="n">
        <x:f aca="0">(B106+NPV($K$82/12,C106:Z106))/1000000</x:f>
        <x:v>791.477137256076</x:v>
      </x:c>
      <x:c r="E59" s="85" t="n">
        <x:f aca="0">D59-$D$57</x:f>
        <x:v>-473.970579752624</x:v>
      </x:c>
      <x:c r="F59" s="86" t="str">
        <x:f aca="0">IFERROR(MATCH(TRUE(),INDEX(C107:Z107&lt;0,0),0),"Không hết tiền trong 24 tháng")</x:f>
        <x:v>Không hết tiền trong 24 tháng</x:v>
      </x:c>
      <x:c r="G59" s="86" t="n">
        <x:f aca="0">IFERROR(MATCH(TRUE(),INDEX(C108:Z108&gt;=0,0),0),"Chưa hoàn vốn trong 24 tháng")</x:f>
        <x:v>20</x:v>
      </x:c>
      <x:c r="H59" s="87" t="n">
        <x:f aca="0">RANK(D59,$D$58:$D$64,1)</x:f>
        <x:v>4</x:v>
      </x:c>
    </x:row>
    <x:row r="60" ht="27.75" hidden="0" customHeight="1">
      <x:c r="A60" s="80" t="s">
        <x:v>429</x:v>
      </x:c>
      <x:c r="B60" s="88" t="n">
        <x:f aca="0">'3_Giả định'!$C$9</x:f>
        <x:v>0.05</x:v>
      </x:c>
      <x:c r="C60" s="88" t="n">
        <x:f aca="0">F83</x:f>
        <x:v>0.06</x:v>
      </x:c>
      <x:c r="D60" s="85" t="n">
        <x:f aca="0">(B112+NPV($K$83/12,C112:Z112))/1000000</x:f>
        <x:v>911.597213306306</x:v>
      </x:c>
      <x:c r="E60" s="85" t="n">
        <x:f aca="0">D60-$D$57</x:f>
        <x:v>-353.850503702393</x:v>
      </x:c>
      <x:c r="F60" s="86" t="str">
        <x:f aca="0">IFERROR(MATCH(TRUE(),INDEX(C113:Z113&lt;0,0),0),"Không hết tiền trong 24 tháng")</x:f>
        <x:v>Không hết tiền trong 24 tháng</x:v>
      </x:c>
      <x:c r="G60" s="86" t="n">
        <x:f aca="0">IFERROR(MATCH(TRUE(),INDEX(C114:Z114&gt;=0,0),0),"Chưa hoàn vốn trong 24 tháng")</x:f>
        <x:v>20</x:v>
      </x:c>
      <x:c r="H60" s="87" t="n">
        <x:f aca="0">RANK(D60,$D$58:$D$64,1)</x:f>
        <x:v>6</x:v>
      </x:c>
    </x:row>
    <x:row r="61" ht="27.75" hidden="0" customHeight="1">
      <x:c r="A61" s="80" t="s">
        <x:v>430</x:v>
      </x:c>
      <x:c r="B61" s="85" t="n">
        <x:f aca="0">'3_Giả định'!$C$10</x:f>
        <x:v>1500000</x:v>
      </x:c>
      <x:c r="C61" s="85" t="n">
        <x:f aca="0">G84</x:f>
        <x:v>1800000</x:v>
      </x:c>
      <x:c r="D61" s="85" t="n">
        <x:f aca="0">(B118+NPV($K$84/12,C118:Z118))/1000000</x:f>
        <x:v>930.969383204564</x:v>
      </x:c>
      <x:c r="E61" s="85" t="n">
        <x:f aca="0">D61-$D$57</x:f>
        <x:v>-334.478333804135</x:v>
      </x:c>
      <x:c r="F61" s="86" t="str">
        <x:f aca="0">IFERROR(MATCH(TRUE(),INDEX(C119:Z119&lt;0,0),0),"Không hết tiền trong 24 tháng")</x:f>
        <x:v>Không hết tiền trong 24 tháng</x:v>
      </x:c>
      <x:c r="G61" s="86" t="n">
        <x:f aca="0">IFERROR(MATCH(TRUE(),INDEX(C120:Z120&gt;=0,0),0),"Chưa hoàn vốn trong 24 tháng")</x:f>
        <x:v>20</x:v>
      </x:c>
      <x:c r="H61" s="87" t="n">
        <x:f aca="0">RANK(D61,$D$58:$D$64,1)</x:f>
        <x:v>7</x:v>
      </x:c>
    </x:row>
    <x:row r="62" ht="27.75" hidden="0" customHeight="1">
      <x:c r="A62" s="80" t="s">
        <x:v>431</x:v>
      </x:c>
      <x:c r="B62" s="89" t="n">
        <x:f aca="0">'3_Giả định'!$C$7</x:f>
        <x:v>30</x:v>
      </x:c>
      <x:c r="C62" s="89" t="n">
        <x:f aca="0">D85</x:f>
        <x:v>24</x:v>
      </x:c>
      <x:c r="D62" s="85" t="n">
        <x:f aca="0">(B124+NPV($K$85/12,C124:Z124))/1000000</x:f>
        <x:v>273.63113826003</x:v>
      </x:c>
      <x:c r="E62" s="85" t="n">
        <x:f aca="0">D62-$D$57</x:f>
        <x:v>-991.81657874867</x:v>
      </x:c>
      <x:c r="F62" s="86" t="str">
        <x:f aca="0">IFERROR(MATCH(TRUE(),INDEX(C125:Z125&lt;0,0),0),"Không hết tiền trong 24 tháng")</x:f>
        <x:v>Không hết tiền trong 24 tháng</x:v>
      </x:c>
      <x:c r="G62" s="86" t="n">
        <x:f aca="0">IFERROR(MATCH(TRUE(),INDEX(C126:Z126&gt;=0,0),0),"Chưa hoàn vốn trong 24 tháng")</x:f>
        <x:v>22</x:v>
      </x:c>
      <x:c r="H62" s="87" t="n">
        <x:f aca="0">RANK(D62,$D$58:$D$64,1)</x:f>
        <x:v>2</x:v>
      </x:c>
    </x:row>
    <x:row r="63" ht="27.75" hidden="0" customHeight="1">
      <x:c r="A63" s="80" t="s">
        <x:v>432</x:v>
      </x:c>
      <x:c r="B63" s="88" t="n">
        <x:f aca="0">'3_Giả định'!$C$8</x:f>
        <x:v>0.05</x:v>
      </x:c>
      <x:c r="C63" s="88" t="n">
        <x:f aca="0">E86</x:f>
        <x:v>0.04</x:v>
      </x:c>
      <x:c r="D63" s="85" t="n">
        <x:f aca="0">(B130+NPV($K$86/12,C130:Z130))/1000000</x:f>
        <x:v>868.478992356286</x:v>
      </x:c>
      <x:c r="E63" s="85" t="n">
        <x:f aca="0">D63-$D$57</x:f>
        <x:v>-396.968724652413</x:v>
      </x:c>
      <x:c r="F63" s="86" t="str">
        <x:f aca="0">IFERROR(MATCH(TRUE(),INDEX(C131:Z131&lt;0,0),0),"Không hết tiền trong 24 tháng")</x:f>
        <x:v>Không hết tiền trong 24 tháng</x:v>
      </x:c>
      <x:c r="G63" s="86" t="n">
        <x:f aca="0">IFERROR(MATCH(TRUE(),INDEX(C132:Z132&gt;=0,0),0),"Chưa hoàn vốn trong 24 tháng")</x:f>
        <x:v>20</x:v>
      </x:c>
      <x:c r="H63" s="87" t="n">
        <x:f aca="0">RANK(D63,$D$58:$D$64,1)</x:f>
        <x:v>5</x:v>
      </x:c>
    </x:row>
    <x:row r="64" ht="27.75" hidden="0" customHeight="1">
      <x:c r="A64" s="80" t="s">
        <x:v>433</x:v>
      </x:c>
      <x:c r="B64" s="85" t="n">
        <x:f aca="0">'3_Giả định'!$C$11</x:f>
        <x:v>150000000</x:v>
      </x:c>
      <x:c r="C64" s="85" t="n">
        <x:f aca="0">H87</x:f>
        <x:v>180000000</x:v>
      </x:c>
      <x:c r="D64" s="85" t="n">
        <x:f aca="0">(B136+NPV($K$87/12,C136:Z136))/1000000</x:f>
        <x:v>646.72068166177</x:v>
      </x:c>
      <x:c r="E64" s="85" t="n">
        <x:f aca="0">D64-$D$57</x:f>
        <x:v>-618.72703534693</x:v>
      </x:c>
      <x:c r="F64" s="86" t="str">
        <x:f aca="0">IFERROR(MATCH(TRUE(),INDEX(C137:Z137&lt;0,0),0),"Không hết tiền trong 24 tháng")</x:f>
        <x:v>Không hết tiền trong 24 tháng</x:v>
      </x:c>
      <x:c r="G64" s="86" t="n">
        <x:f aca="0">IFERROR(MATCH(TRUE(),INDEX(C138:Z138&gt;=0,0),0),"Chưa hoàn vốn trong 24 tháng")</x:f>
        <x:v>21</x:v>
      </x:c>
      <x:c r="H64" s="87" t="n">
        <x:f aca="0">RANK(D64,$D$58:$D$64,1)</x:f>
        <x:v>3</x:v>
      </x:c>
    </x:row>
    <x:row r="66" ht="15" hidden="0" customHeight="1">
      <x:c r="A66" s="5" t="s">
        <x:v>434</x:v>
      </x:c>
      <x:c r="B66" s="90" t="str">
        <x:f aca="0">IF(MAX(D58:D64)-MIN(D58:D64)&lt;0.5,"Chưa đủ số liệu",INDEX(A58:A64,MATCH(MIN(D58:D64),D58:D64,0)))</x:f>
        <x:v>Doanh thu bình quân giảm</x:v>
      </x:c>
    </x:row>
    <x:row r="68" ht="31.5" hidden="0" customHeight="1">
      <x:c r="A68" s="91" t="s">
        <x:v>435</x:v>
      </x:c>
      <x:c r="B68" s="84" t="s">
        <x:v>426</x:v>
      </x:c>
      <x:c r="C68" s="84" t="s">
        <x:v>426</x:v>
      </x:c>
      <x:c r="D68" s="85" t="n">
        <x:f aca="0">(B142+NPV($K$88/12,C142:Z142))/1000000</x:f>
        <x:v>-2315.13245370894</x:v>
      </x:c>
      <x:c r="E68" s="85" t="n">
        <x:f aca="0">D68-$D$57</x:f>
        <x:v>-3580.58017071764</x:v>
      </x:c>
      <x:c r="F68" s="86" t="n">
        <x:f aca="0">IFERROR(MATCH(TRUE(),INDEX(C143:Z143&lt;0,0),0),"Không hết tiền trong 24 tháng")</x:f>
        <x:v>10</x:v>
      </x:c>
      <x:c r="G68" s="86" t="str">
        <x:f aca="0">IFERROR(MATCH(TRUE(),INDEX(C144:Z144&gt;=0,0),0),"Chưa hoàn vốn trong 24 tháng")</x:f>
        <x:v>Chưa hoàn vốn trong 24 tháng</x:v>
      </x:c>
    </x:row>
    <x:row r="69" ht="15" hidden="0" customHeight="1">
      <x:c r="A69" s="51" t="s">
        <x:v>436</x:v>
      </x:c>
    </x:row>
    <x:row r="70" ht="15" hidden="0" customHeight="1">
      <x:c r="A70" s="78" t="s">
        <x:v>437</x:v>
      </x:c>
    </x:row>
    <x:row r="71" ht="45" hidden="0" customHeight="1">
      <x:c r="A71" s="15" t="s">
        <x:v>350</x:v>
      </x:c>
      <x:c r="B71" s="15" t="s">
        <x:v>438</x:v>
      </x:c>
      <x:c r="C71" s="15" t="s">
        <x:v>439</x:v>
      </x:c>
      <x:c r="D71" s="56" t="s">
        <x:v>440</x:v>
      </x:c>
      <x:c r="E71" s="92" t="s">
        <x:v>441</x:v>
      </x:c>
      <x:c r="F71" s="92"/>
      <x:c r="G71" s="92"/>
      <x:c r="H71" s="92"/>
    </x:row>
    <x:row r="72" ht="15" hidden="0" customHeight="1">
      <x:c r="A72" s="22" t="s">
        <x:v>442</x:v>
      </x:c>
      <x:c r="B72" s="24" t="n">
        <x:f aca="0">'3_Giả định'!C17</x:f>
        <x:v>1106500</x:v>
      </x:c>
      <x:c r="C72" s="26" t="n">
        <x:f aca="0">IFERROR(B72*(1-$B$54*$D$57/($D$57-$D$58)),"")</x:f>
        <x:v>950943.177425236</x:v>
      </x:c>
      <x:c r="D72" s="28" t="n">
        <x:f aca="0">IFERROR(C72/B72-1,"")</x:f>
        <x:v>-0.140584566267297</x:v>
      </x:c>
      <x:c r="E72" s="22" t="s">
        <x:v>443</x:v>
      </x:c>
      <x:c r="F72" s="22"/>
      <x:c r="G72" s="22"/>
      <x:c r="H72" s="22"/>
    </x:row>
    <x:row r="73" ht="15" hidden="0" customHeight="1">
      <x:c r="A73" s="22" t="s">
        <x:v>99</x:v>
      </x:c>
      <x:c r="B73" s="93" t="n">
        <x:f aca="0">'4_Chỉ số mỗi khách'!C7</x:f>
        <x:v>0.736721843651152</x:v>
      </x:c>
      <x:c r="C73" s="65" t="n">
        <x:f aca="0">IFERROR(1-('3_Giả định'!C18*(1+$B$54*$D$57/($D$57-$D$59)))/'3_Giả định'!C17,"")</x:f>
        <x:v>0.596137277383856</x:v>
      </x:c>
      <x:c r="D73" s="93" t="n">
        <x:f aca="0">IFERROR(C73-B73,"")</x:f>
        <x:v>-0.140584566267297</x:v>
      </x:c>
      <x:c r="E73" s="22" t="s">
        <x:v>444</x:v>
      </x:c>
      <x:c r="F73" s="22"/>
      <x:c r="G73" s="22"/>
      <x:c r="H73" s="22"/>
    </x:row>
    <x:row r="74" ht="15" hidden="0" customHeight="1">
      <x:c r="A74" s="22" t="s">
        <x:v>445</x:v>
      </x:c>
      <x:c r="B74" s="24" t="n">
        <x:f aca="0">'3_Giả định'!C10</x:f>
        <x:v>1500000</x:v>
      </x:c>
      <x:c r="C74" s="26" t="n">
        <x:f aca="0">IFERROR(B74*(1+$B$54*$D$57/($D$57-$D$61)),"")</x:f>
        <x:v>2635004.2042631</x:v>
      </x:c>
      <x:c r="D74" s="28" t="n">
        <x:f aca="0">IFERROR(C74/B74-1,"")</x:f>
        <x:v>0.756669469508733</x:v>
      </x:c>
      <x:c r="E74" s="27" t="str">
        <x:f aca="0">IFERROR("Trên mức này là 'nguy'. Tương ứng LTV ÷ CAC = "&amp;ROUND('4_Chỉ số mỗi khách'!C9/C74,1)&amp;", không phải 3","")</x:f>
        <x:v>Trên mức này là 'nguy'. Tương ứng LTV ÷ CAC = 6.2, không phải 3</x:v>
      </x:c>
      <x:c r="F74" s="27"/>
      <x:c r="G74" s="27"/>
      <x:c r="H74" s="27"/>
    </x:row>
    <x:row r="75" ht="15" hidden="0" customHeight="1">
      <x:c r="A75" s="22" t="s">
        <x:v>446</x:v>
      </x:c>
      <x:c r="B75" s="94" t="n">
        <x:f aca="0">'3_Giả định'!C7</x:f>
        <x:v>30</x:v>
      </x:c>
      <x:c r="C75" s="95" t="n">
        <x:f aca="0">IFERROR(B75*(1-$B$54*$D$57/($D$57-$D$62)),"")</x:f>
        <x:v>22.3446668822258</x:v>
      </x:c>
      <x:c r="D75" s="28" t="n">
        <x:f aca="0">IFERROR(C75/B75-1,"")</x:f>
        <x:v>-0.255177770592474</x:v>
      </x:c>
      <x:c r="E75" s="22" t="s">
        <x:v>447</x:v>
      </x:c>
      <x:c r="F75" s="22"/>
      <x:c r="G75" s="22"/>
      <x:c r="H75" s="22"/>
    </x:row>
    <x:row r="76" ht="15" hidden="0" customHeight="1">
      <x:c r="A76" s="22" t="s">
        <x:v>448</x:v>
      </x:c>
      <x:c r="B76" s="24" t="n">
        <x:f aca="0">'3_Giả định'!C11</x:f>
        <x:v>150000000</x:v>
      </x:c>
      <x:c r="C76" s="26" t="n">
        <x:f aca="0">IFERROR(B76*(1+$B$54*$D$57/($D$57-$D$64)),"")</x:f>
        <x:v>211357318.076419</x:v>
      </x:c>
      <x:c r="D76" s="28" t="n">
        <x:f aca="0">IFERROR(C76/B76-1,"")</x:f>
        <x:v>0.409048787176123</x:v>
      </x:c>
      <x:c r="E76" s="22" t="s">
        <x:v>449</x:v>
      </x:c>
      <x:c r="F76" s="22"/>
      <x:c r="G76" s="22"/>
      <x:c r="H76" s="22"/>
    </x:row>
    <x:row r="77" ht="15" hidden="0" customHeight="1">
      <x:c r="A77" s="22" t="s">
        <x:v>450</x:v>
      </x:c>
      <x:c r="B77" s="93" t="n">
        <x:f aca="0">'2_Định giá'!B27</x:f>
        <x:v>0</x:v>
      </x:c>
      <x:c r="C77" s="65" t="n">
        <x:f aca="0">IFERROR(1-C72/('2_Định giá'!D17*'3_Giả định'!C5),"")</x:f>
        <x:v>0.140584566267297</x:v>
      </x:c>
      <x:c r="D77" s="93" t="n">
        <x:f aca="0">IFERROR(C77-B77,"")</x:f>
        <x:v>0.140584566267297</x:v>
      </x:c>
      <x:c r="E77" s="22" t="s">
        <x:v>451</x:v>
      </x:c>
      <x:c r="F77" s="22"/>
      <x:c r="G77" s="22"/>
      <x:c r="H77" s="22"/>
    </x:row>
    <x:row r="78" ht="15" hidden="0" customHeight="1">
      <x:c r="A78" s="96" t="s">
        <x:v>452</x:v>
      </x:c>
    </x:row>
    <x:row r="79" ht="15" hidden="1" customHeight="1">
      <x:c r="A79" s="96" t="s">
        <x:v>453</x:v>
      </x:c>
      <x:c r="B79" s="96" t="s">
        <x:v>454</x:v>
      </x:c>
      <x:c r="C79" s="96" t="s">
        <x:v>455</x:v>
      </x:c>
      <x:c r="D79" s="96" t="s">
        <x:v>456</x:v>
      </x:c>
      <x:c r="E79" s="96" t="s">
        <x:v>457</x:v>
      </x:c>
      <x:c r="F79" s="96" t="s">
        <x:v>458</x:v>
      </x:c>
      <x:c r="G79" s="96" t="s">
        <x:v>459</x:v>
      </x:c>
      <x:c r="H79" s="96" t="s">
        <x:v>395</x:v>
      </x:c>
      <x:c r="I79" s="96" t="s">
        <x:v>460</x:v>
      </x:c>
      <x:c r="J79" s="96" t="s">
        <x:v>461</x:v>
      </x:c>
      <x:c r="K79" s="96" t="s">
        <x:v>462</x:v>
      </x:c>
    </x:row>
    <x:row r="80" ht="15" hidden="1" customHeight="1">
      <x:c r="A80" s="96" t="s">
        <x:v>463</x:v>
      </x:c>
      <x:c r="B80" s="97" t="n">
        <x:f aca="0">'3_Giả định'!$C$17</x:f>
        <x:v>1106500</x:v>
      </x:c>
      <x:c r="C80" s="97" t="n">
        <x:f aca="0">'3_Giả định'!$C$18</x:f>
        <x:v>291317.28</x:v>
      </x:c>
      <x:c r="D80" s="98" t="n">
        <x:f aca="0">'3_Giả định'!$C$7</x:f>
        <x:v>30</x:v>
      </x:c>
      <x:c r="E80" s="99" t="n">
        <x:f aca="0">'3_Giả định'!$C$8</x:f>
        <x:v>0.05</x:v>
      </x:c>
      <x:c r="F80" s="99" t="n">
        <x:f aca="0">'3_Giả định'!$C$9</x:f>
        <x:v>0.05</x:v>
      </x:c>
      <x:c r="G80" s="97" t="n">
        <x:f aca="0">'3_Giả định'!$C$10</x:f>
        <x:v>1500000</x:v>
      </x:c>
      <x:c r="H80" s="97" t="n">
        <x:f aca="0">'3_Giả định'!$C$11</x:f>
        <x:v>150000000</x:v>
      </x:c>
      <x:c r="I80" s="97" t="n">
        <x:f aca="0">'3_Giả định'!$C$12</x:f>
        <x:v>600000000</x:v>
      </x:c>
      <x:c r="J80" s="97" t="n">
        <x:f aca="0">'3_Giả định'!$C$13</x:f>
        <x:v>2000000000</x:v>
      </x:c>
      <x:c r="K80" s="99" t="n">
        <x:f aca="0">'3_Giả định'!$C$14</x:f>
        <x:v>0.15</x:v>
      </x:c>
    </x:row>
    <x:row r="81" ht="15" hidden="1" customHeight="1">
      <x:c r="A81" s="96" t="s">
        <x:v>464</x:v>
      </x:c>
      <x:c r="B81" s="97" t="n">
        <x:f aca="0">'3_Giả định'!$C$17*(1-$B$54)</x:f>
        <x:v>885200</x:v>
      </x:c>
      <x:c r="C81" s="97" t="n">
        <x:f aca="0">'3_Giả định'!$C$18</x:f>
        <x:v>291317.28</x:v>
      </x:c>
      <x:c r="D81" s="98" t="n">
        <x:f aca="0">'3_Giả định'!$C$7</x:f>
        <x:v>30</x:v>
      </x:c>
      <x:c r="E81" s="99" t="n">
        <x:f aca="0">'3_Giả định'!$C$8</x:f>
        <x:v>0.05</x:v>
      </x:c>
      <x:c r="F81" s="99" t="n">
        <x:f aca="0">'3_Giả định'!$C$9</x:f>
        <x:v>0.05</x:v>
      </x:c>
      <x:c r="G81" s="97" t="n">
        <x:f aca="0">'3_Giả định'!$C$10</x:f>
        <x:v>1500000</x:v>
      </x:c>
      <x:c r="H81" s="97" t="n">
        <x:f aca="0">'3_Giả định'!$C$11</x:f>
        <x:v>150000000</x:v>
      </x:c>
      <x:c r="I81" s="97" t="n">
        <x:f aca="0">'3_Giả định'!$C$12</x:f>
        <x:v>600000000</x:v>
      </x:c>
      <x:c r="J81" s="97" t="n">
        <x:f aca="0">'3_Giả định'!$C$13</x:f>
        <x:v>2000000000</x:v>
      </x:c>
      <x:c r="K81" s="99" t="n">
        <x:f aca="0">'3_Giả định'!$C$14</x:f>
        <x:v>0.15</x:v>
      </x:c>
    </x:row>
    <x:row r="82" ht="15" hidden="1" customHeight="1">
      <x:c r="A82" s="96" t="s">
        <x:v>465</x:v>
      </x:c>
      <x:c r="B82" s="97" t="n">
        <x:f aca="0">'3_Giả định'!$C$17</x:f>
        <x:v>1106500</x:v>
      </x:c>
      <x:c r="C82" s="97" t="n">
        <x:f aca="0">'3_Giả định'!$C$18*(1+$B$54)</x:f>
        <x:v>349580.736</x:v>
      </x:c>
      <x:c r="D82" s="98" t="n">
        <x:f aca="0">'3_Giả định'!$C$7</x:f>
        <x:v>30</x:v>
      </x:c>
      <x:c r="E82" s="99" t="n">
        <x:f aca="0">'3_Giả định'!$C$8</x:f>
        <x:v>0.05</x:v>
      </x:c>
      <x:c r="F82" s="99" t="n">
        <x:f aca="0">'3_Giả định'!$C$9</x:f>
        <x:v>0.05</x:v>
      </x:c>
      <x:c r="G82" s="97" t="n">
        <x:f aca="0">'3_Giả định'!$C$10</x:f>
        <x:v>1500000</x:v>
      </x:c>
      <x:c r="H82" s="97" t="n">
        <x:f aca="0">'3_Giả định'!$C$11</x:f>
        <x:v>150000000</x:v>
      </x:c>
      <x:c r="I82" s="97" t="n">
        <x:f aca="0">'3_Giả định'!$C$12</x:f>
        <x:v>600000000</x:v>
      </x:c>
      <x:c r="J82" s="97" t="n">
        <x:f aca="0">'3_Giả định'!$C$13</x:f>
        <x:v>2000000000</x:v>
      </x:c>
      <x:c r="K82" s="99" t="n">
        <x:f aca="0">'3_Giả định'!$C$14</x:f>
        <x:v>0.15</x:v>
      </x:c>
    </x:row>
    <x:row r="83" ht="15" hidden="1" customHeight="1">
      <x:c r="A83" s="96" t="s">
        <x:v>466</x:v>
      </x:c>
      <x:c r="B83" s="97" t="n">
        <x:f aca="0">'3_Giả định'!$C$17</x:f>
        <x:v>1106500</x:v>
      </x:c>
      <x:c r="C83" s="97" t="n">
        <x:f aca="0">'3_Giả định'!$C$18</x:f>
        <x:v>291317.28</x:v>
      </x:c>
      <x:c r="D83" s="98" t="n">
        <x:f aca="0">'3_Giả định'!$C$7</x:f>
        <x:v>30</x:v>
      </x:c>
      <x:c r="E83" s="99" t="n">
        <x:f aca="0">'3_Giả định'!$C$8</x:f>
        <x:v>0.05</x:v>
      </x:c>
      <x:c r="F83" s="99" t="n">
        <x:f aca="0">'3_Giả định'!$C$9*(1+$B$54)</x:f>
        <x:v>0.06</x:v>
      </x:c>
      <x:c r="G83" s="97" t="n">
        <x:f aca="0">'3_Giả định'!$C$10</x:f>
        <x:v>1500000</x:v>
      </x:c>
      <x:c r="H83" s="97" t="n">
        <x:f aca="0">'3_Giả định'!$C$11</x:f>
        <x:v>150000000</x:v>
      </x:c>
      <x:c r="I83" s="97" t="n">
        <x:f aca="0">'3_Giả định'!$C$12</x:f>
        <x:v>600000000</x:v>
      </x:c>
      <x:c r="J83" s="97" t="n">
        <x:f aca="0">'3_Giả định'!$C$13</x:f>
        <x:v>2000000000</x:v>
      </x:c>
      <x:c r="K83" s="99" t="n">
        <x:f aca="0">'3_Giả định'!$C$14</x:f>
        <x:v>0.15</x:v>
      </x:c>
    </x:row>
    <x:row r="84" ht="15" hidden="1" customHeight="1">
      <x:c r="A84" s="96" t="s">
        <x:v>467</x:v>
      </x:c>
      <x:c r="B84" s="97" t="n">
        <x:f aca="0">'3_Giả định'!$C$17</x:f>
        <x:v>1106500</x:v>
      </x:c>
      <x:c r="C84" s="97" t="n">
        <x:f aca="0">'3_Giả định'!$C$18</x:f>
        <x:v>291317.28</x:v>
      </x:c>
      <x:c r="D84" s="98" t="n">
        <x:f aca="0">'3_Giả định'!$C$7</x:f>
        <x:v>30</x:v>
      </x:c>
      <x:c r="E84" s="99" t="n">
        <x:f aca="0">'3_Giả định'!$C$8</x:f>
        <x:v>0.05</x:v>
      </x:c>
      <x:c r="F84" s="99" t="n">
        <x:f aca="0">'3_Giả định'!$C$9</x:f>
        <x:v>0.05</x:v>
      </x:c>
      <x:c r="G84" s="97" t="n">
        <x:f aca="0">'3_Giả định'!$C$10*(1+$B$54)</x:f>
        <x:v>1800000</x:v>
      </x:c>
      <x:c r="H84" s="97" t="n">
        <x:f aca="0">'3_Giả định'!$C$11</x:f>
        <x:v>150000000</x:v>
      </x:c>
      <x:c r="I84" s="97" t="n">
        <x:f aca="0">'3_Giả định'!$C$12</x:f>
        <x:v>600000000</x:v>
      </x:c>
      <x:c r="J84" s="97" t="n">
        <x:f aca="0">'3_Giả định'!$C$13</x:f>
        <x:v>2000000000</x:v>
      </x:c>
      <x:c r="K84" s="99" t="n">
        <x:f aca="0">'3_Giả định'!$C$14</x:f>
        <x:v>0.15</x:v>
      </x:c>
    </x:row>
    <x:row r="85" ht="15" hidden="1" customHeight="1">
      <x:c r="A85" s="96" t="s">
        <x:v>468</x:v>
      </x:c>
      <x:c r="B85" s="97" t="n">
        <x:f aca="0">'3_Giả định'!$C$17</x:f>
        <x:v>1106500</x:v>
      </x:c>
      <x:c r="C85" s="97" t="n">
        <x:f aca="0">'3_Giả định'!$C$18</x:f>
        <x:v>291317.28</x:v>
      </x:c>
      <x:c r="D85" s="98" t="n">
        <x:f aca="0">'3_Giả định'!$C$7*(1-$B$54)</x:f>
        <x:v>24</x:v>
      </x:c>
      <x:c r="E85" s="99" t="n">
        <x:f aca="0">'3_Giả định'!$C$8</x:f>
        <x:v>0.05</x:v>
      </x:c>
      <x:c r="F85" s="99" t="n">
        <x:f aca="0">'3_Giả định'!$C$9</x:f>
        <x:v>0.05</x:v>
      </x:c>
      <x:c r="G85" s="97" t="n">
        <x:f aca="0">'3_Giả định'!$C$10</x:f>
        <x:v>1500000</x:v>
      </x:c>
      <x:c r="H85" s="97" t="n">
        <x:f aca="0">'3_Giả định'!$C$11</x:f>
        <x:v>150000000</x:v>
      </x:c>
      <x:c r="I85" s="97" t="n">
        <x:f aca="0">'3_Giả định'!$C$12</x:f>
        <x:v>600000000</x:v>
      </x:c>
      <x:c r="J85" s="97" t="n">
        <x:f aca="0">'3_Giả định'!$C$13</x:f>
        <x:v>2000000000</x:v>
      </x:c>
      <x:c r="K85" s="99" t="n">
        <x:f aca="0">'3_Giả định'!$C$14</x:f>
        <x:v>0.15</x:v>
      </x:c>
    </x:row>
    <x:row r="86" ht="15" hidden="1" customHeight="1">
      <x:c r="A86" s="96" t="s">
        <x:v>469</x:v>
      </x:c>
      <x:c r="B86" s="97" t="n">
        <x:f aca="0">'3_Giả định'!$C$17</x:f>
        <x:v>1106500</x:v>
      </x:c>
      <x:c r="C86" s="97" t="n">
        <x:f aca="0">'3_Giả định'!$C$18</x:f>
        <x:v>291317.28</x:v>
      </x:c>
      <x:c r="D86" s="98" t="n">
        <x:f aca="0">'3_Giả định'!$C$7</x:f>
        <x:v>30</x:v>
      </x:c>
      <x:c r="E86" s="99" t="n">
        <x:f aca="0">'3_Giả định'!$C$8*(1-$B$54)</x:f>
        <x:v>0.04</x:v>
      </x:c>
      <x:c r="F86" s="99" t="n">
        <x:f aca="0">'3_Giả định'!$C$9</x:f>
        <x:v>0.05</x:v>
      </x:c>
      <x:c r="G86" s="97" t="n">
        <x:f aca="0">'3_Giả định'!$C$10</x:f>
        <x:v>1500000</x:v>
      </x:c>
      <x:c r="H86" s="97" t="n">
        <x:f aca="0">'3_Giả định'!$C$11</x:f>
        <x:v>150000000</x:v>
      </x:c>
      <x:c r="I86" s="97" t="n">
        <x:f aca="0">'3_Giả định'!$C$12</x:f>
        <x:v>600000000</x:v>
      </x:c>
      <x:c r="J86" s="97" t="n">
        <x:f aca="0">'3_Giả định'!$C$13</x:f>
        <x:v>2000000000</x:v>
      </x:c>
      <x:c r="K86" s="99" t="n">
        <x:f aca="0">'3_Giả định'!$C$14</x:f>
        <x:v>0.15</x:v>
      </x:c>
    </x:row>
    <x:row r="87" ht="15" hidden="1" customHeight="1">
      <x:c r="A87" s="96" t="s">
        <x:v>470</x:v>
      </x:c>
      <x:c r="B87" s="97" t="n">
        <x:f aca="0">'3_Giả định'!$C$17</x:f>
        <x:v>1106500</x:v>
      </x:c>
      <x:c r="C87" s="97" t="n">
        <x:f aca="0">'3_Giả định'!$C$18</x:f>
        <x:v>291317.28</x:v>
      </x:c>
      <x:c r="D87" s="98" t="n">
        <x:f aca="0">'3_Giả định'!$C$7</x:f>
        <x:v>30</x:v>
      </x:c>
      <x:c r="E87" s="99" t="n">
        <x:f aca="0">'3_Giả định'!$C$8</x:f>
        <x:v>0.05</x:v>
      </x:c>
      <x:c r="F87" s="99" t="n">
        <x:f aca="0">'3_Giả định'!$C$9</x:f>
        <x:v>0.05</x:v>
      </x:c>
      <x:c r="G87" s="97" t="n">
        <x:f aca="0">'3_Giả định'!$C$10</x:f>
        <x:v>1500000</x:v>
      </x:c>
      <x:c r="H87" s="97" t="n">
        <x:f aca="0">'3_Giả định'!$C$11*(1+$B$54)</x:f>
        <x:v>180000000</x:v>
      </x:c>
      <x:c r="I87" s="97" t="n">
        <x:f aca="0">'3_Giả định'!$C$12</x:f>
        <x:v>600000000</x:v>
      </x:c>
      <x:c r="J87" s="97" t="n">
        <x:f aca="0">'3_Giả định'!$C$13</x:f>
        <x:v>2000000000</x:v>
      </x:c>
      <x:c r="K87" s="99" t="n">
        <x:f aca="0">'3_Giả định'!$C$14</x:f>
        <x:v>0.15</x:v>
      </x:c>
    </x:row>
    <x:row r="88" ht="15" hidden="1" customHeight="1">
      <x:c r="A88" s="96" t="s">
        <x:v>471</x:v>
      </x:c>
      <x:c r="B88" s="97" t="n">
        <x:f aca="0">'2_Định giá'!$D$15*'3_Giả định'!$C$5*(1-'2_Định giá'!$B$27)</x:f>
        <x:v>499000</x:v>
      </x:c>
      <x:c r="C88" s="97" t="n">
        <x:f aca="0">'2_Định giá'!$E$15*'3_Giả định'!$C$6</x:f>
        <x:v>123964.8</x:v>
      </x:c>
      <x:c r="D88" s="98" t="n">
        <x:f aca="0">'3_Giả định'!$C$7</x:f>
        <x:v>30</x:v>
      </x:c>
      <x:c r="E88" s="99" t="n">
        <x:f aca="0">'3_Giả định'!$C$8</x:f>
        <x:v>0.05</x:v>
      </x:c>
      <x:c r="F88" s="99" t="n">
        <x:f aca="0">'3_Giả định'!$C$9</x:f>
        <x:v>0.05</x:v>
      </x:c>
      <x:c r="G88" s="97" t="n">
        <x:f aca="0">'3_Giả định'!$C$10</x:f>
        <x:v>1500000</x:v>
      </x:c>
      <x:c r="H88" s="97" t="n">
        <x:f aca="0">'3_Giả định'!$C$11</x:f>
        <x:v>150000000</x:v>
      </x:c>
      <x:c r="I88" s="97" t="n">
        <x:f aca="0">'3_Giả định'!$C$12</x:f>
        <x:v>600000000</x:v>
      </x:c>
      <x:c r="J88" s="97" t="n">
        <x:f aca="0">'3_Giả định'!$C$13</x:f>
        <x:v>2000000000</x:v>
      </x:c>
      <x:c r="K88" s="99" t="n">
        <x:f aca="0">'3_Giả định'!$C$14</x:f>
        <x:v>0.15</x:v>
      </x:c>
    </x:row>
    <x:row r="89" ht="15" hidden="1" customHeight="1"/>
    <x:row r="90" ht="15" hidden="1" customHeight="1"/>
    <x:row r="91" ht="15" hidden="1" customHeight="1"/>
    <x:row r="92" ht="15" hidden="1" customHeight="1">
      <x:c r="A92" s="96" t="s">
        <x:v>472</x:v>
      </x:c>
      <x:c r="C92" s="98" t="n">
        <x:f aca="0">$D$80*(1+$E$80)^0</x:f>
        <x:v>30</x:v>
      </x:c>
      <x:c r="D92" s="98" t="n">
        <x:f aca="0">$D$80*(1+$E$80)^1</x:f>
        <x:v>31.5</x:v>
      </x:c>
      <x:c r="E92" s="98" t="n">
        <x:f aca="0">$D$80*(1+$E$80)^2</x:f>
        <x:v>33.075</x:v>
      </x:c>
      <x:c r="F92" s="98" t="n">
        <x:f aca="0">$D$80*(1+$E$80)^3</x:f>
        <x:v>34.72875</x:v>
      </x:c>
      <x:c r="G92" s="98" t="n">
        <x:f aca="0">$D$80*(1+$E$80)^4</x:f>
        <x:v>36.4651875</x:v>
      </x:c>
      <x:c r="H92" s="98" t="n">
        <x:f aca="0">$D$80*(1+$E$80)^5</x:f>
        <x:v>38.288446875</x:v>
      </x:c>
      <x:c r="I92" s="98" t="n">
        <x:f aca="0">$D$80*(1+$E$80)^6</x:f>
        <x:v>40.20286921875</x:v>
      </x:c>
      <x:c r="J92" s="98" t="n">
        <x:f aca="0">$D$80*(1+$E$80)^7</x:f>
        <x:v>42.2130126796875</x:v>
      </x:c>
      <x:c r="K92" s="98" t="n">
        <x:f aca="0">$D$80*(1+$E$80)^8</x:f>
        <x:v>44.3236633136719</x:v>
      </x:c>
      <x:c r="L92" s="98" t="n">
        <x:f aca="0">$D$80*(1+$E$80)^9</x:f>
        <x:v>46.5398464793555</x:v>
      </x:c>
      <x:c r="M92" s="98" t="n">
        <x:f aca="0">$D$80*(1+$E$80)^10</x:f>
        <x:v>48.8668388033233</x:v>
      </x:c>
      <x:c r="N92" s="98" t="n">
        <x:f aca="0">$D$80*(1+$E$80)^11</x:f>
        <x:v>51.3101807434894</x:v>
      </x:c>
      <x:c r="O92" s="98" t="n">
        <x:f aca="0">$D$80*(1+$E$80)^12</x:f>
        <x:v>53.8756897806639</x:v>
      </x:c>
      <x:c r="P92" s="98" t="n">
        <x:f aca="0">$D$80*(1+$E$80)^13</x:f>
        <x:v>56.5694742696971</x:v>
      </x:c>
      <x:c r="Q92" s="98" t="n">
        <x:f aca="0">$D$80*(1+$E$80)^14</x:f>
        <x:v>59.397947983182</x:v>
      </x:c>
      <x:c r="R92" s="98" t="n">
        <x:f aca="0">$D$80*(1+$E$80)^15</x:f>
        <x:v>62.3678453823411</x:v>
      </x:c>
      <x:c r="S92" s="98" t="n">
        <x:f aca="0">$D$80*(1+$E$80)^16</x:f>
        <x:v>65.4862376514581</x:v>
      </x:c>
      <x:c r="T92" s="98" t="n">
        <x:f aca="0">$D$80*(1+$E$80)^17</x:f>
        <x:v>68.760549534031</x:v>
      </x:c>
      <x:c r="U92" s="98" t="n">
        <x:f aca="0">$D$80*(1+$E$80)^18</x:f>
        <x:v>72.1985770107326</x:v>
      </x:c>
      <x:c r="V92" s="98" t="n">
        <x:f aca="0">$D$80*(1+$E$80)^19</x:f>
        <x:v>75.8085058612692</x:v>
      </x:c>
      <x:c r="W92" s="98" t="n">
        <x:f aca="0">$D$80*(1+$E$80)^20</x:f>
        <x:v>79.5989311543327</x:v>
      </x:c>
      <x:c r="X92" s="98" t="n">
        <x:f aca="0">$D$80*(1+$E$80)^21</x:f>
        <x:v>83.5788777120493</x:v>
      </x:c>
      <x:c r="Y92" s="98" t="n">
        <x:f aca="0">$D$80*(1+$E$80)^22</x:f>
        <x:v>87.7578215976518</x:v>
      </x:c>
      <x:c r="Z92" s="98" t="n">
        <x:f aca="0">$D$80*(1+$E$80)^23</x:f>
        <x:v>92.1457126775344</x:v>
      </x:c>
    </x:row>
    <x:row r="93" ht="15" hidden="1" customHeight="1">
      <x:c r="A93" s="96" t="s">
        <x:v>473</x:v>
      </x:c>
      <x:c r="B93" s="96" t="n">
        <x:v>0</x:v>
      </x:c>
      <x:c r="C93" s="98" t="n">
        <x:f aca="0">B93*(1-$F$80)+C92</x:f>
        <x:v>30</x:v>
      </x:c>
      <x:c r="D93" s="98" t="n">
        <x:f aca="0">C93*(1-$F$80)+D92</x:f>
        <x:v>60</x:v>
      </x:c>
      <x:c r="E93" s="98" t="n">
        <x:f aca="0">D93*(1-$F$80)+E92</x:f>
        <x:v>90.075</x:v>
      </x:c>
      <x:c r="F93" s="98" t="n">
        <x:f aca="0">E93*(1-$F$80)+F92</x:f>
        <x:v>120.3</x:v>
      </x:c>
      <x:c r="G93" s="98" t="n">
        <x:f aca="0">F93*(1-$F$80)+G92</x:f>
        <x:v>150.7501875</x:v>
      </x:c>
      <x:c r="H93" s="98" t="n">
        <x:f aca="0">G93*(1-$F$80)+H92</x:f>
        <x:v>181.501125</x:v>
      </x:c>
      <x:c r="I93" s="98" t="n">
        <x:f aca="0">H93*(1-$F$80)+I92</x:f>
        <x:v>212.62893796875</x:v>
      </x:c>
      <x:c r="J93" s="98" t="n">
        <x:f aca="0">I93*(1-$F$80)+J92</x:f>
        <x:v>244.21050375</x:v>
      </x:c>
      <x:c r="K93" s="98" t="n">
        <x:f aca="0">J93*(1-$F$80)+K92</x:f>
        <x:v>276.323641876172</x:v>
      </x:c>
      <x:c r="L93" s="98" t="n">
        <x:f aca="0">K93*(1-$F$80)+L92</x:f>
        <x:v>309.047306261719</x:v>
      </x:c>
      <x:c r="M93" s="98" t="n">
        <x:f aca="0">L93*(1-$F$80)+M92</x:f>
        <x:v>342.461779751956</x:v>
      </x:c>
      <x:c r="N93" s="98" t="n">
        <x:f aca="0">M93*(1-$F$80)+N92</x:f>
        <x:v>376.648871507848</x:v>
      </x:c>
      <x:c r="O93" s="98" t="n">
        <x:f aca="0">N93*(1-$F$80)+O92</x:f>
        <x:v>411.692117713119</x:v>
      </x:c>
      <x:c r="P93" s="98" t="n">
        <x:f aca="0">O93*(1-$F$80)+P92</x:f>
        <x:v>447.67698609716</x:v>
      </x:c>
      <x:c r="Q93" s="98" t="n">
        <x:f aca="0">P93*(1-$F$80)+Q92</x:f>
        <x:v>484.691084775484</x:v>
      </x:c>
      <x:c r="R93" s="98" t="n">
        <x:f aca="0">Q93*(1-$F$80)+R92</x:f>
        <x:v>522.824375919051</x:v>
      </x:c>
      <x:c r="S93" s="98" t="n">
        <x:f aca="0">R93*(1-$F$80)+S92</x:f>
        <x:v>562.169394774557</x:v>
      </x:c>
      <x:c r="T93" s="98" t="n">
        <x:f aca="0">S93*(1-$F$80)+T92</x:f>
        <x:v>602.82147456986</x:v>
      </x:c>
      <x:c r="U93" s="98" t="n">
        <x:f aca="0">T93*(1-$F$80)+U92</x:f>
        <x:v>644.878977852099</x:v>
      </x:c>
      <x:c r="V93" s="98" t="n">
        <x:f aca="0">U93*(1-$F$80)+V92</x:f>
        <x:v>688.443534820764</x:v>
      </x:c>
      <x:c r="W93" s="98" t="n">
        <x:f aca="0">V93*(1-$F$80)+W92</x:f>
        <x:v>733.620289234058</x:v>
      </x:c>
      <x:c r="X93" s="98" t="n">
        <x:f aca="0">W93*(1-$F$80)+X92</x:f>
        <x:v>780.518152484404</x:v>
      </x:c>
      <x:c r="Y93" s="98" t="n">
        <x:f aca="0">X93*(1-$F$80)+Y92</x:f>
        <x:v>829.250066457836</x:v>
      </x:c>
      <x:c r="Z93" s="98" t="n">
        <x:f aca="0">Y93*(1-$F$80)+Z92</x:f>
        <x:v>879.933275812478</x:v>
      </x:c>
    </x:row>
    <x:row r="94" ht="15" hidden="1" customHeight="1">
      <x:c r="A94" s="96" t="s">
        <x:v>474</x:v>
      </x:c>
      <x:c r="B94" s="97" t="n">
        <x:f aca="0">-$I$80</x:f>
        <x:v>-600000000</x:v>
      </x:c>
      <x:c r="C94" s="97" t="n">
        <x:f aca="0">C93*($B$80-$C$80)-C92*$G$80-$H$80</x:f>
        <x:v>-170544518.4</x:v>
      </x:c>
      <x:c r="D94" s="97" t="n">
        <x:f aca="0">D93*($B$80-$C$80)-D92*$G$80-$H$80</x:f>
        <x:v>-148339036.8</x:v>
      </x:c>
      <x:c r="E94" s="97" t="n">
        <x:f aca="0">E93*($B$80-$C$80)-E92*$G$80-$H$80</x:f>
        <x:v>-126184916.496</x:v>
      </x:c>
      <x:c r="F94" s="97" t="n">
        <x:f aca="0">F93*($B$80-$C$80)-F92*$G$80-$H$80</x:f>
        <x:v>-104026643.784</x:v>
      </x:c>
      <x:c r="G94" s="97" t="n">
        <x:f aca="0">G93*($B$80-$C$80)-G92*$G$80-$H$80</x:f>
        <x:v>-81808833.36324</x:v>
      </x:c>
      <x:c r="H94" s="97" t="n">
        <x:f aca="0">H93*($B$80-$C$80)-H92*$G$80-$H$80</x:f>
        <x:v>-59476089.55194</x:v>
      </x:c>
      <x:c r="I94" s="97" t="n">
        <x:f aca="0">I93*($B$80-$C$80)-I92*$G$80-$H$80</x:f>
        <x:v>-36972867.8240481</x:v>
      </x:c>
      <x:c r="J94" s="97" t="n">
        <x:f aca="0">J93*($B$80-$C$80)-J92*$G$80-$H$80</x:f>
        <x:v>-14243336.3200361</x:v>
      </x:c>
      <x:c r="K94" s="97" t="n">
        <x:f aca="0">K93*($B$80-$C$80)-K92*$G$80-$H$80</x:f>
        <x:v>8768763.01441589</x:v>
      </x:c>
      <x:c r="L94" s="97" t="n">
        <x:f aca="0">L93*($B$80-$C$80)-L92*$G$80-$H$80</x:f>
        <x:v>32120254.0080677</x:v>
      </x:c>
      <x:c r="M94" s="97" t="n">
        <x:f aca="0">M93*($B$80-$C$80)-M92*$G$80-$H$80</x:f>
        <x:v>55868666.9092556</x:v>
      </x:c>
      <x:c r="N94" s="97" t="n">
        <x:f aca="0">N93*($B$80-$C$80)-N92*$G$80-$H$80</x:f>
        <x:v>80072380.4454636</x:v>
      </x:c>
      <x:c r="O94" s="97" t="n">
        <x:f aca="0">O93*($B$80-$C$80)-O92*$G$80-$H$80</x:f>
        <x:v>104790765.648945</x:v>
      </x:c>
      <x:c r="P94" s="97" t="n">
        <x:f aca="0">P93*($B$80-$C$80)-P92*$G$80-$H$80</x:f>
        <x:v>130084331.80354</x:v>
      </x:c>
      <x:c r="Q94" s="97" t="n">
        <x:f aca="0">Q93*($B$80-$C$80)-Q92*$G$80-$H$80</x:f>
        <x:v>156014874.872257</x:v>
      </x:c>
      <x:c r="R94" s="97" t="n">
        <x:f aca="0">R93*($B$80-$C$80)-R92*$G$80-$H$80</x:f>
        <x:v>182645628.770483</x:v>
      </x:c>
      <x:c r="S94" s="97" t="n">
        <x:f aca="0">S93*($B$80-$C$80)-S92*$G$80-$H$80</x:f>
        <x:v>210041419.85589</x:v>
      </x:c>
      <x:c r="T94" s="97" t="n">
        <x:f aca="0">T93*($B$80-$C$80)-T92*$G$80-$H$80</x:f>
        <x:v>238268825.013223</x:v>
      </x:c>
      <x:c r="U94" s="97" t="n">
        <x:f aca="0">U93*($B$80-$C$80)-U92*$G$80-$H$80</x:f>
        <x:v>267396333.720195</x:v>
      </x:c>
      <x:c r="V94" s="97" t="n">
        <x:f aca="0">V93*($B$80-$C$80)-V92*$G$80-$H$80</x:f>
        <x:v>297494514.489701</x:v>
      </x:c>
      <x:c r="W94" s="97" t="n">
        <x:f aca="0">W93*($B$80-$C$80)-W92*$G$80-$H$80</x:f>
        <x:v>328636186.093507</x:v>
      </x:c>
      <x:c r="X94" s="97" t="n">
        <x:f aca="0">X93*($B$80-$C$80)-X92*$G$80-$H$80</x:f>
        <x:v>360896593.983538</x:v>
      </x:c>
      <x:c r="Y94" s="97" t="n">
        <x:f aca="0">Y93*($B$80-$C$80)-Y92*$G$80-$H$80</x:f>
        <x:v>394353592.338802</x:v>
      </x:c>
      <x:c r="Z94" s="97" t="n">
        <x:f aca="0">Z93*($B$80-$C$80)-Z92*$G$80-$H$80</x:f>
        <x:v>429087832.179025</x:v>
      </x:c>
    </x:row>
    <x:row r="95" ht="15" hidden="1" customHeight="1">
      <x:c r="A95" s="96" t="s">
        <x:v>475</x:v>
      </x:c>
      <x:c r="B95" s="97" t="n">
        <x:f aca="0">$J$80+B94</x:f>
        <x:v>1400000000</x:v>
      </x:c>
      <x:c r="C95" s="97" t="n">
        <x:f aca="0">B95+C94</x:f>
        <x:v>1229455481.6</x:v>
      </x:c>
      <x:c r="D95" s="97" t="n">
        <x:f aca="0">C95+D94</x:f>
        <x:v>1081116444.8</x:v>
      </x:c>
      <x:c r="E95" s="97" t="n">
        <x:f aca="0">D95+E94</x:f>
        <x:v>954931528.304</x:v>
      </x:c>
      <x:c r="F95" s="97" t="n">
        <x:f aca="0">E95+F94</x:f>
        <x:v>850904884.52</x:v>
      </x:c>
      <x:c r="G95" s="97" t="n">
        <x:f aca="0">F95+G94</x:f>
        <x:v>769096051.15676</x:v>
      </x:c>
      <x:c r="H95" s="97" t="n">
        <x:f aca="0">G95+H94</x:f>
        <x:v>709619961.60482</x:v>
      </x:c>
      <x:c r="I95" s="97" t="n">
        <x:f aca="0">H95+I94</x:f>
        <x:v>672647093.780772</x:v>
      </x:c>
      <x:c r="J95" s="97" t="n">
        <x:f aca="0">I95+J94</x:f>
        <x:v>658403757.460736</x:v>
      </x:c>
      <x:c r="K95" s="97" t="n">
        <x:f aca="0">J95+K94</x:f>
        <x:v>667172520.475151</x:v>
      </x:c>
      <x:c r="L95" s="97" t="n">
        <x:f aca="0">K95+L94</x:f>
        <x:v>699292774.483219</x:v>
      </x:c>
      <x:c r="M95" s="97" t="n">
        <x:f aca="0">L95+M94</x:f>
        <x:v>755161441.392475</x:v>
      </x:c>
      <x:c r="N95" s="97" t="n">
        <x:f aca="0">M95+N94</x:f>
        <x:v>835233821.837938</x:v>
      </x:c>
      <x:c r="O95" s="97" t="n">
        <x:f aca="0">N95+O94</x:f>
        <x:v>940024587.486883</x:v>
      </x:c>
      <x:c r="P95" s="97" t="n">
        <x:f aca="0">O95+P94</x:f>
        <x:v>1070108919.29042</x:v>
      </x:c>
      <x:c r="Q95" s="97" t="n">
        <x:f aca="0">P95+Q94</x:f>
        <x:v>1226123794.16268</x:v>
      </x:c>
      <x:c r="R95" s="97" t="n">
        <x:f aca="0">Q95+R94</x:f>
        <x:v>1408769422.93316</x:v>
      </x:c>
      <x:c r="S95" s="97" t="n">
        <x:f aca="0">R95+S94</x:f>
        <x:v>1618810842.78905</x:v>
      </x:c>
      <x:c r="T95" s="97" t="n">
        <x:f aca="0">S95+T94</x:f>
        <x:v>1857079667.80227</x:v>
      </x:c>
      <x:c r="U95" s="97" t="n">
        <x:f aca="0">T95+U94</x:f>
        <x:v>2124476001.52247</x:v>
      </x:c>
      <x:c r="V95" s="97" t="n">
        <x:f aca="0">U95+V94</x:f>
        <x:v>2421970516.01217</x:v>
      </x:c>
      <x:c r="W95" s="97" t="n">
        <x:f aca="0">V95+W94</x:f>
        <x:v>2750606702.10568</x:v>
      </x:c>
      <x:c r="X95" s="97" t="n">
        <x:f aca="0">W95+X94</x:f>
        <x:v>3111503296.08922</x:v>
      </x:c>
      <x:c r="Y95" s="97" t="n">
        <x:f aca="0">X95+Y94</x:f>
        <x:v>3505856888.42802</x:v>
      </x:c>
      <x:c r="Z95" s="97" t="n">
        <x:f aca="0">Y95+Z94</x:f>
        <x:v>3934944720.60704</x:v>
      </x:c>
    </x:row>
    <x:row r="96" ht="15" hidden="1" customHeight="1">
      <x:c r="A96" s="96" t="s">
        <x:v>476</x:v>
      </x:c>
      <x:c r="B96" s="97" t="n">
        <x:f aca="0">B94</x:f>
        <x:v>-600000000</x:v>
      </x:c>
      <x:c r="C96" s="97" t="n">
        <x:f aca="0">B96+C94</x:f>
        <x:v>-770544518.4</x:v>
      </x:c>
      <x:c r="D96" s="97" t="n">
        <x:f aca="0">C96+D94</x:f>
        <x:v>-918883555.2</x:v>
      </x:c>
      <x:c r="E96" s="97" t="n">
        <x:f aca="0">D96+E94</x:f>
        <x:v>-1045068471.696</x:v>
      </x:c>
      <x:c r="F96" s="97" t="n">
        <x:f aca="0">E96+F94</x:f>
        <x:v>-1149095115.48</x:v>
      </x:c>
      <x:c r="G96" s="97" t="n">
        <x:f aca="0">F96+G94</x:f>
        <x:v>-1230903948.84324</x:v>
      </x:c>
      <x:c r="H96" s="97" t="n">
        <x:f aca="0">G96+H94</x:f>
        <x:v>-1290380038.39518</x:v>
      </x:c>
      <x:c r="I96" s="97" t="n">
        <x:f aca="0">H96+I94</x:f>
        <x:v>-1327352906.21923</x:v>
      </x:c>
      <x:c r="J96" s="97" t="n">
        <x:f aca="0">I96+J94</x:f>
        <x:v>-1341596242.53926</x:v>
      </x:c>
      <x:c r="K96" s="97" t="n">
        <x:f aca="0">J96+K94</x:f>
        <x:v>-1332827479.52485</x:v>
      </x:c>
      <x:c r="L96" s="97" t="n">
        <x:f aca="0">K96+L94</x:f>
        <x:v>-1300707225.51678</x:v>
      </x:c>
      <x:c r="M96" s="97" t="n">
        <x:f aca="0">L96+M94</x:f>
        <x:v>-1244838558.60752</x:v>
      </x:c>
      <x:c r="N96" s="97" t="n">
        <x:f aca="0">M96+N94</x:f>
        <x:v>-1164766178.16206</x:v>
      </x:c>
      <x:c r="O96" s="97" t="n">
        <x:f aca="0">N96+O94</x:f>
        <x:v>-1059975412.51312</x:v>
      </x:c>
      <x:c r="P96" s="97" t="n">
        <x:f aca="0">O96+P94</x:f>
        <x:v>-929891080.709577</x:v>
      </x:c>
      <x:c r="Q96" s="97" t="n">
        <x:f aca="0">P96+Q94</x:f>
        <x:v>-773876205.83732</x:v>
      </x:c>
      <x:c r="R96" s="97" t="n">
        <x:f aca="0">Q96+R94</x:f>
        <x:v>-591230577.066837</x:v>
      </x:c>
      <x:c r="S96" s="97" t="n">
        <x:f aca="0">R96+S94</x:f>
        <x:v>-381189157.210948</x:v>
      </x:c>
      <x:c r="T96" s="97" t="n">
        <x:f aca="0">S96+T94</x:f>
        <x:v>-142920332.197725</x:v>
      </x:c>
      <x:c r="U96" s="97" t="n">
        <x:f aca="0">T96+U94</x:f>
        <x:v>124476001.52247</x:v>
      </x:c>
      <x:c r="V96" s="97" t="n">
        <x:f aca="0">U96+V94</x:f>
        <x:v>421970516.012171</x:v>
      </x:c>
      <x:c r="W96" s="97" t="n">
        <x:f aca="0">V96+W94</x:f>
        <x:v>750606702.105678</x:v>
      </x:c>
      <x:c r="X96" s="97" t="n">
        <x:f aca="0">W96+X94</x:f>
        <x:v>1111503296.08922</x:v>
      </x:c>
      <x:c r="Y96" s="97" t="n">
        <x:f aca="0">X96+Y94</x:f>
        <x:v>1505856888.42802</x:v>
      </x:c>
      <x:c r="Z96" s="97" t="n">
        <x:f aca="0">Y96+Z94</x:f>
        <x:v>1934944720.60704</x:v>
      </x:c>
    </x:row>
    <x:row r="97" ht="15" hidden="1" customHeight="1"/>
    <x:row r="98" ht="15" hidden="1" customHeight="1">
      <x:c r="A98" s="96" t="s">
        <x:v>477</x:v>
      </x:c>
      <x:c r="C98" s="98" t="n">
        <x:f aca="0">$D$81*(1+$E$81)^0</x:f>
        <x:v>30</x:v>
      </x:c>
      <x:c r="D98" s="98" t="n">
        <x:f aca="0">$D$81*(1+$E$81)^1</x:f>
        <x:v>31.5</x:v>
      </x:c>
      <x:c r="E98" s="98" t="n">
        <x:f aca="0">$D$81*(1+$E$81)^2</x:f>
        <x:v>33.075</x:v>
      </x:c>
      <x:c r="F98" s="98" t="n">
        <x:f aca="0">$D$81*(1+$E$81)^3</x:f>
        <x:v>34.72875</x:v>
      </x:c>
      <x:c r="G98" s="98" t="n">
        <x:f aca="0">$D$81*(1+$E$81)^4</x:f>
        <x:v>36.4651875</x:v>
      </x:c>
      <x:c r="H98" s="98" t="n">
        <x:f aca="0">$D$81*(1+$E$81)^5</x:f>
        <x:v>38.288446875</x:v>
      </x:c>
      <x:c r="I98" s="98" t="n">
        <x:f aca="0">$D$81*(1+$E$81)^6</x:f>
        <x:v>40.20286921875</x:v>
      </x:c>
      <x:c r="J98" s="98" t="n">
        <x:f aca="0">$D$81*(1+$E$81)^7</x:f>
        <x:v>42.2130126796875</x:v>
      </x:c>
      <x:c r="K98" s="98" t="n">
        <x:f aca="0">$D$81*(1+$E$81)^8</x:f>
        <x:v>44.3236633136719</x:v>
      </x:c>
      <x:c r="L98" s="98" t="n">
        <x:f aca="0">$D$81*(1+$E$81)^9</x:f>
        <x:v>46.5398464793555</x:v>
      </x:c>
      <x:c r="M98" s="98" t="n">
        <x:f aca="0">$D$81*(1+$E$81)^10</x:f>
        <x:v>48.8668388033233</x:v>
      </x:c>
      <x:c r="N98" s="98" t="n">
        <x:f aca="0">$D$81*(1+$E$81)^11</x:f>
        <x:v>51.3101807434894</x:v>
      </x:c>
      <x:c r="O98" s="98" t="n">
        <x:f aca="0">$D$81*(1+$E$81)^12</x:f>
        <x:v>53.8756897806639</x:v>
      </x:c>
      <x:c r="P98" s="98" t="n">
        <x:f aca="0">$D$81*(1+$E$81)^13</x:f>
        <x:v>56.5694742696971</x:v>
      </x:c>
      <x:c r="Q98" s="98" t="n">
        <x:f aca="0">$D$81*(1+$E$81)^14</x:f>
        <x:v>59.397947983182</x:v>
      </x:c>
      <x:c r="R98" s="98" t="n">
        <x:f aca="0">$D$81*(1+$E$81)^15</x:f>
        <x:v>62.3678453823411</x:v>
      </x:c>
      <x:c r="S98" s="98" t="n">
        <x:f aca="0">$D$81*(1+$E$81)^16</x:f>
        <x:v>65.4862376514581</x:v>
      </x:c>
      <x:c r="T98" s="98" t="n">
        <x:f aca="0">$D$81*(1+$E$81)^17</x:f>
        <x:v>68.760549534031</x:v>
      </x:c>
      <x:c r="U98" s="98" t="n">
        <x:f aca="0">$D$81*(1+$E$81)^18</x:f>
        <x:v>72.1985770107326</x:v>
      </x:c>
      <x:c r="V98" s="98" t="n">
        <x:f aca="0">$D$81*(1+$E$81)^19</x:f>
        <x:v>75.8085058612692</x:v>
      </x:c>
      <x:c r="W98" s="98" t="n">
        <x:f aca="0">$D$81*(1+$E$81)^20</x:f>
        <x:v>79.5989311543327</x:v>
      </x:c>
      <x:c r="X98" s="98" t="n">
        <x:f aca="0">$D$81*(1+$E$81)^21</x:f>
        <x:v>83.5788777120493</x:v>
      </x:c>
      <x:c r="Y98" s="98" t="n">
        <x:f aca="0">$D$81*(1+$E$81)^22</x:f>
        <x:v>87.7578215976518</x:v>
      </x:c>
      <x:c r="Z98" s="98" t="n">
        <x:f aca="0">$D$81*(1+$E$81)^23</x:f>
        <x:v>92.1457126775344</x:v>
      </x:c>
    </x:row>
    <x:row r="99" ht="15" hidden="1" customHeight="1">
      <x:c r="A99" s="96" t="s">
        <x:v>478</x:v>
      </x:c>
      <x:c r="B99" s="96" t="n">
        <x:v>0</x:v>
      </x:c>
      <x:c r="C99" s="98" t="n">
        <x:f aca="0">B99*(1-$F$81)+C98</x:f>
        <x:v>30</x:v>
      </x:c>
      <x:c r="D99" s="98" t="n">
        <x:f aca="0">C99*(1-$F$81)+D98</x:f>
        <x:v>60</x:v>
      </x:c>
      <x:c r="E99" s="98" t="n">
        <x:f aca="0">D99*(1-$F$81)+E98</x:f>
        <x:v>90.075</x:v>
      </x:c>
      <x:c r="F99" s="98" t="n">
        <x:f aca="0">E99*(1-$F$81)+F98</x:f>
        <x:v>120.3</x:v>
      </x:c>
      <x:c r="G99" s="98" t="n">
        <x:f aca="0">F99*(1-$F$81)+G98</x:f>
        <x:v>150.7501875</x:v>
      </x:c>
      <x:c r="H99" s="98" t="n">
        <x:f aca="0">G99*(1-$F$81)+H98</x:f>
        <x:v>181.501125</x:v>
      </x:c>
      <x:c r="I99" s="98" t="n">
        <x:f aca="0">H99*(1-$F$81)+I98</x:f>
        <x:v>212.62893796875</x:v>
      </x:c>
      <x:c r="J99" s="98" t="n">
        <x:f aca="0">I99*(1-$F$81)+J98</x:f>
        <x:v>244.21050375</x:v>
      </x:c>
      <x:c r="K99" s="98" t="n">
        <x:f aca="0">J99*(1-$F$81)+K98</x:f>
        <x:v>276.323641876172</x:v>
      </x:c>
      <x:c r="L99" s="98" t="n">
        <x:f aca="0">K99*(1-$F$81)+L98</x:f>
        <x:v>309.047306261719</x:v>
      </x:c>
      <x:c r="M99" s="98" t="n">
        <x:f aca="0">L99*(1-$F$81)+M98</x:f>
        <x:v>342.461779751956</x:v>
      </x:c>
      <x:c r="N99" s="98" t="n">
        <x:f aca="0">M99*(1-$F$81)+N98</x:f>
        <x:v>376.648871507848</x:v>
      </x:c>
      <x:c r="O99" s="98" t="n">
        <x:f aca="0">N99*(1-$F$81)+O98</x:f>
        <x:v>411.692117713119</x:v>
      </x:c>
      <x:c r="P99" s="98" t="n">
        <x:f aca="0">O99*(1-$F$81)+P98</x:f>
        <x:v>447.67698609716</x:v>
      </x:c>
      <x:c r="Q99" s="98" t="n">
        <x:f aca="0">P99*(1-$F$81)+Q98</x:f>
        <x:v>484.691084775484</x:v>
      </x:c>
      <x:c r="R99" s="98" t="n">
        <x:f aca="0">Q99*(1-$F$81)+R98</x:f>
        <x:v>522.824375919051</x:v>
      </x:c>
      <x:c r="S99" s="98" t="n">
        <x:f aca="0">R99*(1-$F$81)+S98</x:f>
        <x:v>562.169394774557</x:v>
      </x:c>
      <x:c r="T99" s="98" t="n">
        <x:f aca="0">S99*(1-$F$81)+T98</x:f>
        <x:v>602.82147456986</x:v>
      </x:c>
      <x:c r="U99" s="98" t="n">
        <x:f aca="0">T99*(1-$F$81)+U98</x:f>
        <x:v>644.878977852099</x:v>
      </x:c>
      <x:c r="V99" s="98" t="n">
        <x:f aca="0">U99*(1-$F$81)+V98</x:f>
        <x:v>688.443534820764</x:v>
      </x:c>
      <x:c r="W99" s="98" t="n">
        <x:f aca="0">V99*(1-$F$81)+W98</x:f>
        <x:v>733.620289234058</x:v>
      </x:c>
      <x:c r="X99" s="98" t="n">
        <x:f aca="0">W99*(1-$F$81)+X98</x:f>
        <x:v>780.518152484404</x:v>
      </x:c>
      <x:c r="Y99" s="98" t="n">
        <x:f aca="0">X99*(1-$F$81)+Y98</x:f>
        <x:v>829.250066457836</x:v>
      </x:c>
      <x:c r="Z99" s="98" t="n">
        <x:f aca="0">Y99*(1-$F$81)+Z98</x:f>
        <x:v>879.933275812478</x:v>
      </x:c>
    </x:row>
    <x:row r="100" ht="15" hidden="1" customHeight="1">
      <x:c r="A100" s="96" t="s">
        <x:v>479</x:v>
      </x:c>
      <x:c r="B100" s="97" t="n">
        <x:f aca="0">-$I$81</x:f>
        <x:v>-600000000</x:v>
      </x:c>
      <x:c r="C100" s="97" t="n">
        <x:f aca="0">C99*($B$81-$C$81)-C98*$G$81-$H$81</x:f>
        <x:v>-177183518.4</x:v>
      </x:c>
      <x:c r="D100" s="97" t="n">
        <x:f aca="0">D99*($B$81-$C$81)-D98*$G$81-$H$81</x:f>
        <x:v>-161617036.8</x:v>
      </x:c>
      <x:c r="E100" s="97" t="n">
        <x:f aca="0">E99*($B$81-$C$81)-E98*$G$81-$H$81</x:f>
        <x:v>-146118513.996</x:v>
      </x:c>
      <x:c r="F100" s="97" t="n">
        <x:f aca="0">F99*($B$81-$C$81)-F98*$G$81-$H$81</x:f>
        <x:v>-130649033.784</x:v>
      </x:c>
      <x:c r="G100" s="97" t="n">
        <x:f aca="0">G99*($B$81-$C$81)-G98*$G$81-$H$81</x:f>
        <x:v>-115169849.85699</x:v>
      </x:c>
      <x:c r="H100" s="97" t="n">
        <x:f aca="0">H99*($B$81-$C$81)-H98*$G$81-$H$81</x:f>
        <x:v>-99642288.51444</x:v>
      </x:c>
      <x:c r="I100" s="97" t="n">
        <x:f aca="0">I99*($B$81-$C$81)-I98*$G$81-$H$81</x:f>
        <x:v>-84027651.7965325</x:v>
      </x:c>
      <x:c r="J100" s="97" t="n">
        <x:f aca="0">J99*($B$81-$C$81)-J98*$G$81-$H$81</x:f>
        <x:v>-68287120.7999111</x:v>
      </x:c>
      <x:c r="K100" s="97" t="n">
        <x:f aca="0">K99*($B$81-$C$81)-K98*$G$81-$H$81</x:f>
        <x:v>-52381658.932781</x:v>
      </x:c>
      <x:c r="L100" s="97" t="n">
        <x:f aca="0">L99*($B$81-$C$81)-L98*$G$81-$H$81</x:f>
        <x:v>-36271914.8676507</x:v>
      </x:c>
      <x:c r="M100" s="97" t="n">
        <x:f aca="0">M99*($B$81-$C$81)-M98*$G$81-$H$81</x:f>
        <x:v>-19918124.9498523</x:v>
      </x:c>
      <x:c r="N100" s="97" t="n">
        <x:f aca="0">N99*($B$81-$C$81)-N98*$G$81-$H$81</x:f>
        <x:v>-3280014.81922308</x:v>
      </x:c>
      <x:c r="O100" s="97" t="n">
        <x:f aca="0">O99*($B$81-$C$81)-O98*$G$81-$H$81</x:f>
        <x:v>13683299.9990315</x:v>
      </x:c>
      <x:c r="P100" s="97" t="n">
        <x:f aca="0">P99*($B$81-$C$81)-P98*$G$81-$H$81</x:f>
        <x:v>31013414.780238</x:v>
      </x:c>
      <x:c r="Q100" s="97" t="n">
        <x:f aca="0">Q99*($B$81-$C$81)-Q98*$G$81-$H$81</x:f>
        <x:v>48752737.8114422</x:v>
      </x:c>
      <x:c r="R100" s="97" t="n">
        <x:f aca="0">R99*($B$81-$C$81)-R98*$G$81-$H$81</x:f>
        <x:v>66944594.3795969</x:v>
      </x:c>
      <x:c r="S100" s="97" t="n">
        <x:f aca="0">S99*($B$81-$C$81)-S98*$G$81-$H$81</x:f>
        <x:v>85633332.7922803</x:v>
      </x:c>
      <x:c r="T100" s="97" t="n">
        <x:f aca="0">T99*($B$81-$C$81)-T98*$G$81-$H$81</x:f>
        <x:v>104864432.690913</x:v>
      </x:c>
      <x:c r="U100" s="97" t="n">
        <x:f aca="0">U99*($B$81-$C$81)-U98*$G$81-$H$81</x:f>
        <x:v>124684615.921526</x:v>
      </x:c>
      <x:c r="V100" s="97" t="n">
        <x:f aca="0">V99*($B$81-$C$81)-V98*$G$81-$H$81</x:f>
        <x:v>145141960.233866</x:v>
      </x:c>
      <x:c r="W100" s="97" t="n">
        <x:f aca="0">W99*($B$81-$C$81)-W98*$G$81-$H$81</x:f>
        <x:v>166286016.08601</x:v>
      </x:c>
      <x:c r="X100" s="97" t="n">
        <x:f aca="0">X99*($B$81-$C$81)-X98*$G$81-$H$81</x:f>
        <x:v>188167926.838739</x:v>
      </x:c>
      <x:c r="Y100" s="97" t="n">
        <x:f aca="0">Y99*($B$81-$C$81)-Y98*$G$81-$H$81</x:f>
        <x:v>210840552.631683</x:v>
      </x:c>
      <x:c r="Z100" s="97" t="n">
        <x:f aca="0">Z99*($B$81-$C$81)-Z98*$G$81-$H$81</x:f>
        <x:v>234358598.241723</x:v>
      </x:c>
    </x:row>
    <x:row r="101" ht="15" hidden="1" customHeight="1">
      <x:c r="A101" s="96" t="s">
        <x:v>480</x:v>
      </x:c>
      <x:c r="B101" s="97" t="n">
        <x:f aca="0">$J$81+B100</x:f>
        <x:v>1400000000</x:v>
      </x:c>
      <x:c r="C101" s="97" t="n">
        <x:f aca="0">B101+C100</x:f>
        <x:v>1222816481.6</x:v>
      </x:c>
      <x:c r="D101" s="97" t="n">
        <x:f aca="0">C101+D100</x:f>
        <x:v>1061199444.8</x:v>
      </x:c>
      <x:c r="E101" s="97" t="n">
        <x:f aca="0">D101+E100</x:f>
        <x:v>915080930.804</x:v>
      </x:c>
      <x:c r="F101" s="97" t="n">
        <x:f aca="0">E101+F100</x:f>
        <x:v>784431897.02</x:v>
      </x:c>
      <x:c r="G101" s="97" t="n">
        <x:f aca="0">F101+G100</x:f>
        <x:v>669262047.16301</x:v>
      </x:c>
      <x:c r="H101" s="97" t="n">
        <x:f aca="0">G101+H100</x:f>
        <x:v>569619758.64857</x:v>
      </x:c>
      <x:c r="I101" s="97" t="n">
        <x:f aca="0">H101+I100</x:f>
        <x:v>485592106.852037</x:v>
      </x:c>
      <x:c r="J101" s="97" t="n">
        <x:f aca="0">I101+J100</x:f>
        <x:v>417304986.052126</x:v>
      </x:c>
      <x:c r="K101" s="97" t="n">
        <x:f aca="0">J101+K100</x:f>
        <x:v>364923327.119345</x:v>
      </x:c>
      <x:c r="L101" s="97" t="n">
        <x:f aca="0">K101+L100</x:f>
        <x:v>328651412.251695</x:v>
      </x:c>
      <x:c r="M101" s="97" t="n">
        <x:f aca="0">L101+M100</x:f>
        <x:v>308733287.301842</x:v>
      </x:c>
      <x:c r="N101" s="97" t="n">
        <x:f aca="0">M101+N100</x:f>
        <x:v>305453272.482619</x:v>
      </x:c>
      <x:c r="O101" s="97" t="n">
        <x:f aca="0">N101+O100</x:f>
        <x:v>319136572.481651</x:v>
      </x:c>
      <x:c r="P101" s="97" t="n">
        <x:f aca="0">O101+P100</x:f>
        <x:v>350149987.261889</x:v>
      </x:c>
      <x:c r="Q101" s="97" t="n">
        <x:f aca="0">P101+Q100</x:f>
        <x:v>398902725.073331</x:v>
      </x:c>
      <x:c r="R101" s="97" t="n">
        <x:f aca="0">Q101+R100</x:f>
        <x:v>465847319.452928</x:v>
      </x:c>
      <x:c r="S101" s="97" t="n">
        <x:f aca="0">R101+S100</x:f>
        <x:v>551480652.245208</x:v>
      </x:c>
      <x:c r="T101" s="97" t="n">
        <x:f aca="0">S101+T100</x:f>
        <x:v>656345084.936121</x:v>
      </x:c>
      <x:c r="U101" s="97" t="n">
        <x:f aca="0">T101+U100</x:f>
        <x:v>781029700.857647</x:v>
      </x:c>
      <x:c r="V101" s="97" t="n">
        <x:f aca="0">U101+V100</x:f>
        <x:v>926171661.091512</x:v>
      </x:c>
      <x:c r="W101" s="97" t="n">
        <x:f aca="0">V101+W100</x:f>
        <x:v>1092457677.17752</x:v>
      </x:c>
      <x:c r="X101" s="97" t="n">
        <x:f aca="0">W101+X100</x:f>
        <x:v>1280625604.01626</x:v>
      </x:c>
      <x:c r="Y101" s="97" t="n">
        <x:f aca="0">X101+Y100</x:f>
        <x:v>1491466156.64794</x:v>
      </x:c>
      <x:c r="Z101" s="97" t="n">
        <x:f aca="0">Y101+Z100</x:f>
        <x:v>1725824754.88967</x:v>
      </x:c>
    </x:row>
    <x:row r="102" ht="15" hidden="1" customHeight="1">
      <x:c r="A102" s="96" t="s">
        <x:v>481</x:v>
      </x:c>
      <x:c r="B102" s="97" t="n">
        <x:f aca="0">B100</x:f>
        <x:v>-600000000</x:v>
      </x:c>
      <x:c r="C102" s="97" t="n">
        <x:f aca="0">B102+C100</x:f>
        <x:v>-777183518.4</x:v>
      </x:c>
      <x:c r="D102" s="97" t="n">
        <x:f aca="0">C102+D100</x:f>
        <x:v>-938800555.2</x:v>
      </x:c>
      <x:c r="E102" s="97" t="n">
        <x:f aca="0">D102+E100</x:f>
        <x:v>-1084919069.196</x:v>
      </x:c>
      <x:c r="F102" s="97" t="n">
        <x:f aca="0">E102+F100</x:f>
        <x:v>-1215568102.98</x:v>
      </x:c>
      <x:c r="G102" s="97" t="n">
        <x:f aca="0">F102+G100</x:f>
        <x:v>-1330737952.83699</x:v>
      </x:c>
      <x:c r="H102" s="97" t="n">
        <x:f aca="0">G102+H100</x:f>
        <x:v>-1430380241.35143</x:v>
      </x:c>
      <x:c r="I102" s="97" t="n">
        <x:f aca="0">H102+I100</x:f>
        <x:v>-1514407893.14796</x:v>
      </x:c>
      <x:c r="J102" s="97" t="n">
        <x:f aca="0">I102+J100</x:f>
        <x:v>-1582695013.94787</x:v>
      </x:c>
      <x:c r="K102" s="97" t="n">
        <x:f aca="0">J102+K100</x:f>
        <x:v>-1635076672.88065</x:v>
      </x:c>
      <x:c r="L102" s="97" t="n">
        <x:f aca="0">K102+L100</x:f>
        <x:v>-1671348587.74831</x:v>
      </x:c>
      <x:c r="M102" s="97" t="n">
        <x:f aca="0">L102+M100</x:f>
        <x:v>-1691266712.69816</x:v>
      </x:c>
      <x:c r="N102" s="97" t="n">
        <x:f aca="0">M102+N100</x:f>
        <x:v>-1694546727.51738</x:v>
      </x:c>
      <x:c r="O102" s="97" t="n">
        <x:f aca="0">N102+O100</x:f>
        <x:v>-1680863427.51835</x:v>
      </x:c>
      <x:c r="P102" s="97" t="n">
        <x:f aca="0">O102+P100</x:f>
        <x:v>-1649850012.73811</x:v>
      </x:c>
      <x:c r="Q102" s="97" t="n">
        <x:f aca="0">P102+Q100</x:f>
        <x:v>-1601097274.92667</x:v>
      </x:c>
      <x:c r="R102" s="97" t="n">
        <x:f aca="0">Q102+R100</x:f>
        <x:v>-1534152680.54707</x:v>
      </x:c>
      <x:c r="S102" s="97" t="n">
        <x:f aca="0">R102+S100</x:f>
        <x:v>-1448519347.75479</x:v>
      </x:c>
      <x:c r="T102" s="97" t="n">
        <x:f aca="0">S102+T100</x:f>
        <x:v>-1343654915.06388</x:v>
      </x:c>
      <x:c r="U102" s="97" t="n">
        <x:f aca="0">T102+U100</x:f>
        <x:v>-1218970299.14235</x:v>
      </x:c>
      <x:c r="V102" s="97" t="n">
        <x:f aca="0">U102+V100</x:f>
        <x:v>-1073828338.90849</x:v>
      </x:c>
      <x:c r="W102" s="97" t="n">
        <x:f aca="0">V102+W100</x:f>
        <x:v>-907542322.822477</x:v>
      </x:c>
      <x:c r="X102" s="97" t="n">
        <x:f aca="0">W102+X100</x:f>
        <x:v>-719374395.983738</x:v>
      </x:c>
      <x:c r="Y102" s="97" t="n">
        <x:f aca="0">X102+Y100</x:f>
        <x:v>-508533843.352056</x:v>
      </x:c>
      <x:c r="Z102" s="97" t="n">
        <x:f aca="0">Y102+Z100</x:f>
        <x:v>-274175245.110333</x:v>
      </x:c>
    </x:row>
    <x:row r="103" ht="15" hidden="1" customHeight="1"/>
    <x:row r="104" ht="15" hidden="1" customHeight="1">
      <x:c r="A104" s="96" t="s">
        <x:v>482</x:v>
      </x:c>
      <x:c r="C104" s="98" t="n">
        <x:f aca="0">$D$82*(1+$E$82)^0</x:f>
        <x:v>30</x:v>
      </x:c>
      <x:c r="D104" s="98" t="n">
        <x:f aca="0">$D$82*(1+$E$82)^1</x:f>
        <x:v>31.5</x:v>
      </x:c>
      <x:c r="E104" s="98" t="n">
        <x:f aca="0">$D$82*(1+$E$82)^2</x:f>
        <x:v>33.075</x:v>
      </x:c>
      <x:c r="F104" s="98" t="n">
        <x:f aca="0">$D$82*(1+$E$82)^3</x:f>
        <x:v>34.72875</x:v>
      </x:c>
      <x:c r="G104" s="98" t="n">
        <x:f aca="0">$D$82*(1+$E$82)^4</x:f>
        <x:v>36.4651875</x:v>
      </x:c>
      <x:c r="H104" s="98" t="n">
        <x:f aca="0">$D$82*(1+$E$82)^5</x:f>
        <x:v>38.288446875</x:v>
      </x:c>
      <x:c r="I104" s="98" t="n">
        <x:f aca="0">$D$82*(1+$E$82)^6</x:f>
        <x:v>40.20286921875</x:v>
      </x:c>
      <x:c r="J104" s="98" t="n">
        <x:f aca="0">$D$82*(1+$E$82)^7</x:f>
        <x:v>42.2130126796875</x:v>
      </x:c>
      <x:c r="K104" s="98" t="n">
        <x:f aca="0">$D$82*(1+$E$82)^8</x:f>
        <x:v>44.3236633136719</x:v>
      </x:c>
      <x:c r="L104" s="98" t="n">
        <x:f aca="0">$D$82*(1+$E$82)^9</x:f>
        <x:v>46.5398464793555</x:v>
      </x:c>
      <x:c r="M104" s="98" t="n">
        <x:f aca="0">$D$82*(1+$E$82)^10</x:f>
        <x:v>48.8668388033233</x:v>
      </x:c>
      <x:c r="N104" s="98" t="n">
        <x:f aca="0">$D$82*(1+$E$82)^11</x:f>
        <x:v>51.3101807434894</x:v>
      </x:c>
      <x:c r="O104" s="98" t="n">
        <x:f aca="0">$D$82*(1+$E$82)^12</x:f>
        <x:v>53.8756897806639</x:v>
      </x:c>
      <x:c r="P104" s="98" t="n">
        <x:f aca="0">$D$82*(1+$E$82)^13</x:f>
        <x:v>56.5694742696971</x:v>
      </x:c>
      <x:c r="Q104" s="98" t="n">
        <x:f aca="0">$D$82*(1+$E$82)^14</x:f>
        <x:v>59.397947983182</x:v>
      </x:c>
      <x:c r="R104" s="98" t="n">
        <x:f aca="0">$D$82*(1+$E$82)^15</x:f>
        <x:v>62.3678453823411</x:v>
      </x:c>
      <x:c r="S104" s="98" t="n">
        <x:f aca="0">$D$82*(1+$E$82)^16</x:f>
        <x:v>65.4862376514581</x:v>
      </x:c>
      <x:c r="T104" s="98" t="n">
        <x:f aca="0">$D$82*(1+$E$82)^17</x:f>
        <x:v>68.760549534031</x:v>
      </x:c>
      <x:c r="U104" s="98" t="n">
        <x:f aca="0">$D$82*(1+$E$82)^18</x:f>
        <x:v>72.1985770107326</x:v>
      </x:c>
      <x:c r="V104" s="98" t="n">
        <x:f aca="0">$D$82*(1+$E$82)^19</x:f>
        <x:v>75.8085058612692</x:v>
      </x:c>
      <x:c r="W104" s="98" t="n">
        <x:f aca="0">$D$82*(1+$E$82)^20</x:f>
        <x:v>79.5989311543327</x:v>
      </x:c>
      <x:c r="X104" s="98" t="n">
        <x:f aca="0">$D$82*(1+$E$82)^21</x:f>
        <x:v>83.5788777120493</x:v>
      </x:c>
      <x:c r="Y104" s="98" t="n">
        <x:f aca="0">$D$82*(1+$E$82)^22</x:f>
        <x:v>87.7578215976518</x:v>
      </x:c>
      <x:c r="Z104" s="98" t="n">
        <x:f aca="0">$D$82*(1+$E$82)^23</x:f>
        <x:v>92.1457126775344</x:v>
      </x:c>
    </x:row>
    <x:row r="105" ht="15" hidden="1" customHeight="1">
      <x:c r="A105" s="96" t="s">
        <x:v>483</x:v>
      </x:c>
      <x:c r="B105" s="96" t="n">
        <x:v>0</x:v>
      </x:c>
      <x:c r="C105" s="98" t="n">
        <x:f aca="0">B105*(1-$F$82)+C104</x:f>
        <x:v>30</x:v>
      </x:c>
      <x:c r="D105" s="98" t="n">
        <x:f aca="0">C105*(1-$F$82)+D104</x:f>
        <x:v>60</x:v>
      </x:c>
      <x:c r="E105" s="98" t="n">
        <x:f aca="0">D105*(1-$F$82)+E104</x:f>
        <x:v>90.075</x:v>
      </x:c>
      <x:c r="F105" s="98" t="n">
        <x:f aca="0">E105*(1-$F$82)+F104</x:f>
        <x:v>120.3</x:v>
      </x:c>
      <x:c r="G105" s="98" t="n">
        <x:f aca="0">F105*(1-$F$82)+G104</x:f>
        <x:v>150.7501875</x:v>
      </x:c>
      <x:c r="H105" s="98" t="n">
        <x:f aca="0">G105*(1-$F$82)+H104</x:f>
        <x:v>181.501125</x:v>
      </x:c>
      <x:c r="I105" s="98" t="n">
        <x:f aca="0">H105*(1-$F$82)+I104</x:f>
        <x:v>212.62893796875</x:v>
      </x:c>
      <x:c r="J105" s="98" t="n">
        <x:f aca="0">I105*(1-$F$82)+J104</x:f>
        <x:v>244.21050375</x:v>
      </x:c>
      <x:c r="K105" s="98" t="n">
        <x:f aca="0">J105*(1-$F$82)+K104</x:f>
        <x:v>276.323641876172</x:v>
      </x:c>
      <x:c r="L105" s="98" t="n">
        <x:f aca="0">K105*(1-$F$82)+L104</x:f>
        <x:v>309.047306261719</x:v>
      </x:c>
      <x:c r="M105" s="98" t="n">
        <x:f aca="0">L105*(1-$F$82)+M104</x:f>
        <x:v>342.461779751956</x:v>
      </x:c>
      <x:c r="N105" s="98" t="n">
        <x:f aca="0">M105*(1-$F$82)+N104</x:f>
        <x:v>376.648871507848</x:v>
      </x:c>
      <x:c r="O105" s="98" t="n">
        <x:f aca="0">N105*(1-$F$82)+O104</x:f>
        <x:v>411.692117713119</x:v>
      </x:c>
      <x:c r="P105" s="98" t="n">
        <x:f aca="0">O105*(1-$F$82)+P104</x:f>
        <x:v>447.67698609716</x:v>
      </x:c>
      <x:c r="Q105" s="98" t="n">
        <x:f aca="0">P105*(1-$F$82)+Q104</x:f>
        <x:v>484.691084775484</x:v>
      </x:c>
      <x:c r="R105" s="98" t="n">
        <x:f aca="0">Q105*(1-$F$82)+R104</x:f>
        <x:v>522.824375919051</x:v>
      </x:c>
      <x:c r="S105" s="98" t="n">
        <x:f aca="0">R105*(1-$F$82)+S104</x:f>
        <x:v>562.169394774557</x:v>
      </x:c>
      <x:c r="T105" s="98" t="n">
        <x:f aca="0">S105*(1-$F$82)+T104</x:f>
        <x:v>602.82147456986</x:v>
      </x:c>
      <x:c r="U105" s="98" t="n">
        <x:f aca="0">T105*(1-$F$82)+U104</x:f>
        <x:v>644.878977852099</x:v>
      </x:c>
      <x:c r="V105" s="98" t="n">
        <x:f aca="0">U105*(1-$F$82)+V104</x:f>
        <x:v>688.443534820764</x:v>
      </x:c>
      <x:c r="W105" s="98" t="n">
        <x:f aca="0">V105*(1-$F$82)+W104</x:f>
        <x:v>733.620289234058</x:v>
      </x:c>
      <x:c r="X105" s="98" t="n">
        <x:f aca="0">W105*(1-$F$82)+X104</x:f>
        <x:v>780.518152484404</x:v>
      </x:c>
      <x:c r="Y105" s="98" t="n">
        <x:f aca="0">X105*(1-$F$82)+Y104</x:f>
        <x:v>829.250066457836</x:v>
      </x:c>
      <x:c r="Z105" s="98" t="n">
        <x:f aca="0">Y105*(1-$F$82)+Z104</x:f>
        <x:v>879.933275812478</x:v>
      </x:c>
    </x:row>
    <x:row r="106" ht="15" hidden="1" customHeight="1">
      <x:c r="A106" s="96" t="s">
        <x:v>484</x:v>
      </x:c>
      <x:c r="B106" s="97" t="n">
        <x:f aca="0">-$I$82</x:f>
        <x:v>-600000000</x:v>
      </x:c>
      <x:c r="C106" s="97" t="n">
        <x:f aca="0">C105*($B$82-$C$82)-C104*$G$82-$H$82</x:f>
        <x:v>-172292422.08</x:v>
      </x:c>
      <x:c r="D106" s="97" t="n">
        <x:f aca="0">D105*($B$82-$C$82)-D104*$G$82-$H$82</x:f>
        <x:v>-151834844.16</x:v>
      </x:c>
      <x:c r="E106" s="97" t="n">
        <x:f aca="0">E105*($B$82-$C$82)-E104*$G$82-$H$82</x:f>
        <x:v>-131432997.2952</x:v>
      </x:c>
      <x:c r="F106" s="97" t="n">
        <x:f aca="0">F105*($B$82-$C$82)-F104*$G$82-$H$82</x:f>
        <x:v>-111035737.5408</x:v>
      </x:c>
      <x:c r="G106" s="97" t="n">
        <x:f aca="0">G105*($B$82-$C$82)-G104*$G$82-$H$82</x:f>
        <x:v>-90592060.279638</x:v>
      </x:c>
      <x:c r="H106" s="97" t="n">
        <x:f aca="0">H105*($B$82-$C$82)-H104*$G$82-$H$82</x:f>
        <x:v>-70050972.362328</x:v>
      </x:c>
      <x:c r="I106" s="97" t="n">
        <x:f aca="0">I105*($B$82-$C$82)-I104*$G$82-$H$82</x:f>
        <x:v>-49361364.5957171</x:v>
      </x:c>
      <x:c r="J106" s="97" t="n">
        <x:f aca="0">J105*($B$82-$C$82)-J104*$G$82-$H$82</x:f>
        <x:v>-28471884.260012</x:v>
      </x:c>
      <x:c r="K106" s="97" t="n">
        <x:f aca="0">K105*($B$82-$C$82)-K104*$G$82-$H$82</x:f>
        <x:v>-7330807.33579624</x:v>
      </x:c>
      <x:c r="L106" s="97" t="n">
        <x:f aca="0">L105*($B$82-$C$82)-L104*$G$82-$H$82</x:f>
        <x:v>14114089.8777695</x:v>
      </x:c>
      <x:c r="M106" s="97" t="n">
        <x:f aca="0">M105*($B$82-$C$82)-M104*$G$82-$H$82</x:f>
        <x:v>35915660.0729958</x:v>
      </x:c>
      <x:c r="N106" s="97" t="n">
        <x:f aca="0">N105*($B$82-$C$82)-N104*$G$82-$H$82</x:f>
        <x:v>58127515.4929165</x:v>
      </x:c>
      <x:c r="O106" s="97" t="n">
        <x:f aca="0">O105*($B$82-$C$82)-O104*$G$82-$H$82</x:f>
        <x:v>80804160.0630197</x:v>
      </x:c>
      <x:c r="P106" s="97" t="n">
        <x:f aca="0">P105*($B$82-$C$82)-P104*$G$82-$H$82</x:f>
        <x:v>104001123.421855</x:v>
      </x:c>
      <x:c r="Q106" s="97" t="n">
        <x:f aca="0">Q105*($B$82-$C$82)-Q104*$G$82-$H$82</x:f>
        <x:v>127775097.180848</x:v>
      </x:c>
      <x:c r="R106" s="97" t="n">
        <x:f aca="0">R105*($B$82-$C$82)-R104*$G$82-$H$82</x:f>
        <x:v>152184073.748396</x:v>
      </x:c>
      <x:c r="S106" s="97" t="n">
        <x:f aca="0">S105*($B$82-$C$82)-S104*$G$82-$H$82</x:f>
        <x:v>177287488.058896</x:v>
      </x:c>
      <x:c r="T106" s="97" t="n">
        <x:f aca="0">T105*($B$82-$C$82)-T104*$G$82-$H$82</x:f>
        <x:v>203146362.553767</x:v>
      </x:c>
      <x:c r="U106" s="97" t="n">
        <x:f aca="0">U105*($B$82-$C$82)-U104*$G$82-$H$82</x:f>
        <x:v>229823455.768785</x:v>
      </x:c>
      <x:c r="V106" s="97" t="n">
        <x:f aca="0">V105*($B$82-$C$82)-V104*$G$82-$H$82</x:f>
        <x:v>257383414.890187</x:v>
      </x:c>
      <x:c r="W106" s="97" t="n">
        <x:f aca="0">W105*($B$82-$C$82)-W104*$G$82-$H$82</x:f>
        <x:v>285892932.651011</x:v>
      </x:c>
      <x:c r="X106" s="97" t="n">
        <x:f aca="0">X105*($B$82-$C$82)-X104*$G$82-$H$82</x:f>
        <x:v>315420908.949061</x:v>
      </x:c>
      <x:c r="Y106" s="97" t="n">
        <x:f aca="0">Y105*($B$82-$C$82)-Y104*$G$82-$H$82</x:f>
        <x:v>346038617.578738</x:v>
      </x:c>
      <x:c r="Z106" s="97" t="n">
        <x:f aca="0">Z105*($B$82-$C$82)-Z104*$G$82-$H$82</x:f>
        <x:v>377819878.480789</x:v>
      </x:c>
    </x:row>
    <x:row r="107" ht="15" hidden="1" customHeight="1">
      <x:c r="A107" s="96" t="s">
        <x:v>485</x:v>
      </x:c>
      <x:c r="B107" s="97" t="n">
        <x:f aca="0">$J$82+B106</x:f>
        <x:v>1400000000</x:v>
      </x:c>
      <x:c r="C107" s="97" t="n">
        <x:f aca="0">B107+C106</x:f>
        <x:v>1227707577.92</x:v>
      </x:c>
      <x:c r="D107" s="97" t="n">
        <x:f aca="0">C107+D106</x:f>
        <x:v>1075872733.76</x:v>
      </x:c>
      <x:c r="E107" s="97" t="n">
        <x:f aca="0">D107+E106</x:f>
        <x:v>944439736.4648</x:v>
      </x:c>
      <x:c r="F107" s="97" t="n">
        <x:f aca="0">E107+F106</x:f>
        <x:v>833403998.924</x:v>
      </x:c>
      <x:c r="G107" s="97" t="n">
        <x:f aca="0">F107+G106</x:f>
        <x:v>742811938.644362</x:v>
      </x:c>
      <x:c r="H107" s="97" t="n">
        <x:f aca="0">G107+H106</x:f>
        <x:v>672760966.282034</x:v>
      </x:c>
      <x:c r="I107" s="97" t="n">
        <x:f aca="0">H107+I106</x:f>
        <x:v>623399601.686317</x:v>
      </x:c>
      <x:c r="J107" s="97" t="n">
        <x:f aca="0">I107+J106</x:f>
        <x:v>594927717.426305</x:v>
      </x:c>
      <x:c r="K107" s="97" t="n">
        <x:f aca="0">J107+K106</x:f>
        <x:v>587596910.090509</x:v>
      </x:c>
      <x:c r="L107" s="97" t="n">
        <x:f aca="0">K107+L106</x:f>
        <x:v>601710999.968278</x:v>
      </x:c>
      <x:c r="M107" s="97" t="n">
        <x:f aca="0">L107+M106</x:f>
        <x:v>637626660.041274</x:v>
      </x:c>
      <x:c r="N107" s="97" t="n">
        <x:f aca="0">M107+N106</x:f>
        <x:v>695754175.534191</x:v>
      </x:c>
      <x:c r="O107" s="97" t="n">
        <x:f aca="0">N107+O106</x:f>
        <x:v>776558335.59721</x:v>
      </x:c>
      <x:c r="P107" s="97" t="n">
        <x:f aca="0">O107+P106</x:f>
        <x:v>880559459.019065</x:v>
      </x:c>
      <x:c r="Q107" s="97" t="n">
        <x:f aca="0">P107+Q106</x:f>
        <x:v>1008334556.19991</x:v>
      </x:c>
      <x:c r="R107" s="97" t="n">
        <x:f aca="0">Q107+R106</x:f>
        <x:v>1160518629.94831</x:v>
      </x:c>
      <x:c r="S107" s="97" t="n">
        <x:f aca="0">R107+S106</x:f>
        <x:v>1337806118.0072</x:v>
      </x:c>
      <x:c r="T107" s="97" t="n">
        <x:f aca="0">S107+T106</x:f>
        <x:v>1540952480.56097</x:v>
      </x:c>
      <x:c r="U107" s="97" t="n">
        <x:f aca="0">T107+U106</x:f>
        <x:v>1770775936.32976</x:v>
      </x:c>
      <x:c r="V107" s="97" t="n">
        <x:f aca="0">U107+V106</x:f>
        <x:v>2028159351.21994</x:v>
      </x:c>
      <x:c r="W107" s="97" t="n">
        <x:f aca="0">V107+W106</x:f>
        <x:v>2314052283.87095</x:v>
      </x:c>
      <x:c r="X107" s="97" t="n">
        <x:f aca="0">W107+X106</x:f>
        <x:v>2629473192.82002</x:v>
      </x:c>
      <x:c r="Y107" s="97" t="n">
        <x:f aca="0">X107+Y106</x:f>
        <x:v>2975511810.39875</x:v>
      </x:c>
      <x:c r="Z107" s="97" t="n">
        <x:f aca="0">Y107+Z106</x:f>
        <x:v>3353331688.87954</x:v>
      </x:c>
    </x:row>
    <x:row r="108" ht="15" hidden="1" customHeight="1">
      <x:c r="A108" s="96" t="s">
        <x:v>486</x:v>
      </x:c>
      <x:c r="B108" s="97" t="n">
        <x:f aca="0">B106</x:f>
        <x:v>-600000000</x:v>
      </x:c>
      <x:c r="C108" s="97" t="n">
        <x:f aca="0">B108+C106</x:f>
        <x:v>-772292422.08</x:v>
      </x:c>
      <x:c r="D108" s="97" t="n">
        <x:f aca="0">C108+D106</x:f>
        <x:v>-924127266.24</x:v>
      </x:c>
      <x:c r="E108" s="97" t="n">
        <x:f aca="0">D108+E106</x:f>
        <x:v>-1055560263.5352</x:v>
      </x:c>
      <x:c r="F108" s="97" t="n">
        <x:f aca="0">E108+F106</x:f>
        <x:v>-1166596001.076</x:v>
      </x:c>
      <x:c r="G108" s="97" t="n">
        <x:f aca="0">F108+G106</x:f>
        <x:v>-1257188061.35564</x:v>
      </x:c>
      <x:c r="H108" s="97" t="n">
        <x:f aca="0">G108+H106</x:f>
        <x:v>-1327239033.71797</x:v>
      </x:c>
      <x:c r="I108" s="97" t="n">
        <x:f aca="0">H108+I106</x:f>
        <x:v>-1376600398.31368</x:v>
      </x:c>
      <x:c r="J108" s="97" t="n">
        <x:f aca="0">I108+J106</x:f>
        <x:v>-1405072282.5737</x:v>
      </x:c>
      <x:c r="K108" s="97" t="n">
        <x:f aca="0">J108+K106</x:f>
        <x:v>-1412403089.90949</x:v>
      </x:c>
      <x:c r="L108" s="97" t="n">
        <x:f aca="0">K108+L106</x:f>
        <x:v>-1398289000.03172</x:v>
      </x:c>
      <x:c r="M108" s="97" t="n">
        <x:f aca="0">L108+M106</x:f>
        <x:v>-1362373339.95873</x:v>
      </x:c>
      <x:c r="N108" s="97" t="n">
        <x:f aca="0">M108+N106</x:f>
        <x:v>-1304245824.46581</x:v>
      </x:c>
      <x:c r="O108" s="97" t="n">
        <x:f aca="0">N108+O106</x:f>
        <x:v>-1223441664.40279</x:v>
      </x:c>
      <x:c r="P108" s="97" t="n">
        <x:f aca="0">O108+P106</x:f>
        <x:v>-1119440540.98094</x:v>
      </x:c>
      <x:c r="Q108" s="97" t="n">
        <x:f aca="0">P108+Q106</x:f>
        <x:v>-991665443.800087</x:v>
      </x:c>
      <x:c r="R108" s="97" t="n">
        <x:f aca="0">Q108+R106</x:f>
        <x:v>-839481370.051691</x:v>
      </x:c>
      <x:c r="S108" s="97" t="n">
        <x:f aca="0">R108+S106</x:f>
        <x:v>-662193881.992796</x:v>
      </x:c>
      <x:c r="T108" s="97" t="n">
        <x:f aca="0">S108+T106</x:f>
        <x:v>-459047519.439029</x:v>
      </x:c>
      <x:c r="U108" s="97" t="n">
        <x:f aca="0">T108+U106</x:f>
        <x:v>-229224063.670244</x:v>
      </x:c>
      <x:c r="V108" s="97" t="n">
        <x:f aca="0">U108+V106</x:f>
        <x:v>28159351.2199425</x:v>
      </x:c>
      <x:c r="W108" s="97" t="n">
        <x:f aca="0">V108+W106</x:f>
        <x:v>314052283.870954</x:v>
      </x:c>
      <x:c r="X108" s="97" t="n">
        <x:f aca="0">W108+X106</x:f>
        <x:v>629473192.820015</x:v>
      </x:c>
      <x:c r="Y108" s="97" t="n">
        <x:f aca="0">X108+Y106</x:f>
        <x:v>975511810.398753</x:v>
      </x:c>
      <x:c r="Z108" s="97" t="n">
        <x:f aca="0">Y108+Z106</x:f>
        <x:v>1353331688.87954</x:v>
      </x:c>
    </x:row>
    <x:row r="109" ht="15" hidden="1" customHeight="1"/>
    <x:row r="110" ht="15" hidden="1" customHeight="1">
      <x:c r="A110" s="96" t="s">
        <x:v>487</x:v>
      </x:c>
      <x:c r="C110" s="98" t="n">
        <x:f aca="0">$D$83*(1+$E$83)^0</x:f>
        <x:v>30</x:v>
      </x:c>
      <x:c r="D110" s="98" t="n">
        <x:f aca="0">$D$83*(1+$E$83)^1</x:f>
        <x:v>31.5</x:v>
      </x:c>
      <x:c r="E110" s="98" t="n">
        <x:f aca="0">$D$83*(1+$E$83)^2</x:f>
        <x:v>33.075</x:v>
      </x:c>
      <x:c r="F110" s="98" t="n">
        <x:f aca="0">$D$83*(1+$E$83)^3</x:f>
        <x:v>34.72875</x:v>
      </x:c>
      <x:c r="G110" s="98" t="n">
        <x:f aca="0">$D$83*(1+$E$83)^4</x:f>
        <x:v>36.4651875</x:v>
      </x:c>
      <x:c r="H110" s="98" t="n">
        <x:f aca="0">$D$83*(1+$E$83)^5</x:f>
        <x:v>38.288446875</x:v>
      </x:c>
      <x:c r="I110" s="98" t="n">
        <x:f aca="0">$D$83*(1+$E$83)^6</x:f>
        <x:v>40.20286921875</x:v>
      </x:c>
      <x:c r="J110" s="98" t="n">
        <x:f aca="0">$D$83*(1+$E$83)^7</x:f>
        <x:v>42.2130126796875</x:v>
      </x:c>
      <x:c r="K110" s="98" t="n">
        <x:f aca="0">$D$83*(1+$E$83)^8</x:f>
        <x:v>44.3236633136719</x:v>
      </x:c>
      <x:c r="L110" s="98" t="n">
        <x:f aca="0">$D$83*(1+$E$83)^9</x:f>
        <x:v>46.5398464793555</x:v>
      </x:c>
      <x:c r="M110" s="98" t="n">
        <x:f aca="0">$D$83*(1+$E$83)^10</x:f>
        <x:v>48.8668388033233</x:v>
      </x:c>
      <x:c r="N110" s="98" t="n">
        <x:f aca="0">$D$83*(1+$E$83)^11</x:f>
        <x:v>51.3101807434894</x:v>
      </x:c>
      <x:c r="O110" s="98" t="n">
        <x:f aca="0">$D$83*(1+$E$83)^12</x:f>
        <x:v>53.8756897806639</x:v>
      </x:c>
      <x:c r="P110" s="98" t="n">
        <x:f aca="0">$D$83*(1+$E$83)^13</x:f>
        <x:v>56.5694742696971</x:v>
      </x:c>
      <x:c r="Q110" s="98" t="n">
        <x:f aca="0">$D$83*(1+$E$83)^14</x:f>
        <x:v>59.397947983182</x:v>
      </x:c>
      <x:c r="R110" s="98" t="n">
        <x:f aca="0">$D$83*(1+$E$83)^15</x:f>
        <x:v>62.3678453823411</x:v>
      </x:c>
      <x:c r="S110" s="98" t="n">
        <x:f aca="0">$D$83*(1+$E$83)^16</x:f>
        <x:v>65.4862376514581</x:v>
      </x:c>
      <x:c r="T110" s="98" t="n">
        <x:f aca="0">$D$83*(1+$E$83)^17</x:f>
        <x:v>68.760549534031</x:v>
      </x:c>
      <x:c r="U110" s="98" t="n">
        <x:f aca="0">$D$83*(1+$E$83)^18</x:f>
        <x:v>72.1985770107326</x:v>
      </x:c>
      <x:c r="V110" s="98" t="n">
        <x:f aca="0">$D$83*(1+$E$83)^19</x:f>
        <x:v>75.8085058612692</x:v>
      </x:c>
      <x:c r="W110" s="98" t="n">
        <x:f aca="0">$D$83*(1+$E$83)^20</x:f>
        <x:v>79.5989311543327</x:v>
      </x:c>
      <x:c r="X110" s="98" t="n">
        <x:f aca="0">$D$83*(1+$E$83)^21</x:f>
        <x:v>83.5788777120493</x:v>
      </x:c>
      <x:c r="Y110" s="98" t="n">
        <x:f aca="0">$D$83*(1+$E$83)^22</x:f>
        <x:v>87.7578215976518</x:v>
      </x:c>
      <x:c r="Z110" s="98" t="n">
        <x:f aca="0">$D$83*(1+$E$83)^23</x:f>
        <x:v>92.1457126775344</x:v>
      </x:c>
    </x:row>
    <x:row r="111" ht="15" hidden="1" customHeight="1">
      <x:c r="A111" s="96" t="s">
        <x:v>488</x:v>
      </x:c>
      <x:c r="B111" s="96" t="n">
        <x:v>0</x:v>
      </x:c>
      <x:c r="C111" s="98" t="n">
        <x:f aca="0">B111*(1-$F$83)+C110</x:f>
        <x:v>30</x:v>
      </x:c>
      <x:c r="D111" s="98" t="n">
        <x:f aca="0">C111*(1-$F$83)+D110</x:f>
        <x:v>59.7</x:v>
      </x:c>
      <x:c r="E111" s="98" t="n">
        <x:f aca="0">D111*(1-$F$83)+E110</x:f>
        <x:v>89.193</x:v>
      </x:c>
      <x:c r="F111" s="98" t="n">
        <x:f aca="0">E111*(1-$F$83)+F110</x:f>
        <x:v>118.57017</x:v>
      </x:c>
      <x:c r="G111" s="98" t="n">
        <x:f aca="0">F111*(1-$F$83)+G110</x:f>
        <x:v>147.9211473</x:v>
      </x:c>
      <x:c r="H111" s="98" t="n">
        <x:f aca="0">G111*(1-$F$83)+H110</x:f>
        <x:v>177.334325337</x:v>
      </x:c>
      <x:c r="I111" s="98" t="n">
        <x:f aca="0">H111*(1-$F$83)+I110</x:f>
        <x:v>206.89713503553</x:v>
      </x:c>
      <x:c r="J111" s="98" t="n">
        <x:f aca="0">I111*(1-$F$83)+J110</x:f>
        <x:v>236.696319613086</x:v>
      </x:c>
      <x:c r="K111" s="98" t="n">
        <x:f aca="0">J111*(1-$F$83)+K110</x:f>
        <x:v>266.818203749973</x:v>
      </x:c>
      <x:c r="L111" s="98" t="n">
        <x:f aca="0">K111*(1-$F$83)+L110</x:f>
        <x:v>297.34895800433</x:v>
      </x:c>
      <x:c r="M111" s="98" t="n">
        <x:f aca="0">L111*(1-$F$83)+M110</x:f>
        <x:v>328.374859327393</x:v>
      </x:c>
      <x:c r="N111" s="98" t="n">
        <x:f aca="0">M111*(1-$F$83)+N110</x:f>
        <x:v>359.982548511239</x:v>
      </x:c>
      <x:c r="O111" s="98" t="n">
        <x:f aca="0">N111*(1-$F$83)+O110</x:f>
        <x:v>392.259285381228</x:v>
      </x:c>
      <x:c r="P111" s="98" t="n">
        <x:f aca="0">O111*(1-$F$83)+P110</x:f>
        <x:v>425.293202528052</x:v>
      </x:c>
      <x:c r="Q111" s="98" t="n">
        <x:f aca="0">P111*(1-$F$83)+Q110</x:f>
        <x:v>459.173558359551</x:v>
      </x:c>
      <x:c r="R111" s="98" t="n">
        <x:f aca="0">Q111*(1-$F$83)+R110</x:f>
        <x:v>493.990990240319</x:v>
      </x:c>
      <x:c r="S111" s="98" t="n">
        <x:f aca="0">R111*(1-$F$83)+S110</x:f>
        <x:v>529.837768477358</x:v>
      </x:c>
      <x:c r="T111" s="98" t="n">
        <x:f aca="0">S111*(1-$F$83)+T110</x:f>
        <x:v>566.808051902747</x:v>
      </x:c>
      <x:c r="U111" s="98" t="n">
        <x:f aca="0">T111*(1-$F$83)+U110</x:f>
        <x:v>604.998145799315</x:v>
      </x:c>
      <x:c r="V111" s="98" t="n">
        <x:f aca="0">U111*(1-$F$83)+V110</x:f>
        <x:v>644.506762912625</x:v>
      </x:c>
      <x:c r="W111" s="98" t="n">
        <x:f aca="0">V111*(1-$F$83)+W110</x:f>
        <x:v>685.4352882922</x:v>
      </x:c>
      <x:c r="X111" s="98" t="n">
        <x:f aca="0">W111*(1-$F$83)+X110</x:f>
        <x:v>727.888048706717</x:v>
      </x:c>
      <x:c r="Y111" s="98" t="n">
        <x:f aca="0">X111*(1-$F$83)+Y110</x:f>
        <x:v>771.972587381966</x:v>
      </x:c>
      <x:c r="Z111" s="98" t="n">
        <x:f aca="0">Y111*(1-$F$83)+Z110</x:f>
        <x:v>817.799944816582</x:v>
      </x:c>
    </x:row>
    <x:row r="112" ht="15" hidden="1" customHeight="1">
      <x:c r="A112" s="96" t="s">
        <x:v>489</x:v>
      </x:c>
      <x:c r="B112" s="97" t="n">
        <x:f aca="0">-$I$83</x:f>
        <x:v>-600000000</x:v>
      </x:c>
      <x:c r="C112" s="97" t="n">
        <x:f aca="0">C111*($B$83-$C$83)-C110*$G$83-$H$83</x:f>
        <x:v>-170544518.4</x:v>
      </x:c>
      <x:c r="D112" s="97" t="n">
        <x:f aca="0">D111*($B$83-$C$83)-D110*$G$83-$H$83</x:f>
        <x:v>-148583591.616</x:v>
      </x:c>
      <x:c r="E112" s="97" t="n">
        <x:f aca="0">E111*($B$83-$C$83)-E110*$G$83-$H$83</x:f>
        <x:v>-126903907.65504</x:v>
      </x:c>
      <x:c r="F112" s="97" t="n">
        <x:f aca="0">F111*($B$83-$C$83)-F110*$G$83-$H$83</x:f>
        <x:v>-105436771.308538</x:v>
      </x:c>
      <x:c r="G112" s="97" t="n">
        <x:f aca="0">G111*($B$83-$C$83)-G110*$G$83-$H$83</x:f>
        <x:v>-84115018.0484653</x:v>
      </x:c>
      <x:c r="H112" s="97" t="n">
        <x:f aca="0">H111*($B$83-$C$83)-H110*$G$83-$H$83</x:f>
        <x:v>-62872792.6349194</x:v>
      </x:c>
      <x:c r="I112" s="97" t="n">
        <x:f aca="0">I111*($B$83-$C$83)-I110*$G$83-$H$83</x:f>
        <x:v>-41645334.5296544</x:v>
      </x:c>
      <x:c r="J112" s="97" t="n">
        <x:f aca="0">J111*($B$83-$C$83)-J110*$G$83-$H$83</x:f>
        <x:v>-20368769.3833467</x:v>
      </x:c>
      <x:c r="K112" s="97" t="n">
        <x:f aca="0">K111*($B$83-$C$83)-K110*$G$83-$H$83</x:f>
        <x:v>1020094.10790893</x:v>
      </x:c>
      <x:c r="L112" s="97" t="n">
        <x:f aca="0">L111*($B$83-$C$83)-L110*$G$83-$H$83</x:f>
        <x:v>22583962.6561019</x:v>
      </x:c>
      <x:c r="M112" s="97" t="n">
        <x:f aca="0">M111*($B$83-$C$83)-M110*$G$83-$H$83</x:f>
        <x:v>44385252.8011368</x:v>
      </x:c>
      <x:c r="N112" s="97" t="n">
        <x:f aca="0">N111*($B$83-$C$83)-N110*$G$83-$H$83</x:f>
        <x:v>66486281.9326896</x:v>
      </x:c>
      <x:c r="O112" s="97" t="n">
        <x:f aca="0">O111*($B$83-$C$83)-O110*$G$83-$H$83</x:f>
        <x:v>88949456.5313301</x:v>
      </x:c>
      <x:c r="P112" s="97" t="n">
        <x:f aca="0">P111*($B$83-$C$83)-P110*$G$83-$H$83</x:f>
        <x:v>111837458.229782</x:v>
      </x:c>
      <x:c r="Q112" s="97" t="n">
        <x:f aca="0">Q111*($B$83-$C$83)-Q110*$G$83-$H$83</x:f>
        <x:v>135213428.280844</x:v>
      </x:c>
      <x:c r="R112" s="97" t="n">
        <x:f aca="0">R111*($B$83-$C$83)-R110*$G$83-$H$83</x:f>
        <x:v>159141151.006085</x:v>
      </x:c>
      <x:c r="S112" s="97" t="n">
        <x:f aca="0">S111*($B$83-$C$83)-S110*$G$83-$H$83</x:f>
        <x:v>183685236.788915</x:v>
      </x:c>
      <x:c r="T112" s="97" t="n">
        <x:f aca="0">T111*($B$83-$C$83)-T110*$G$83-$H$83</x:f>
        <x:v>208911305.166936</x:v>
      </x:c>
      <x:c r="U112" s="97" t="n">
        <x:f aca="0">U111*($B$83-$C$83)-U110*$G$83-$H$83</x:f>
        <x:v>234886168.571543</x:v>
      </x:c>
      <x:c r="V112" s="97" t="n">
        <x:f aca="0">V111*($B$83-$C$83)-V110*$G$83-$H$83</x:f>
        <x:v>261678017.257605</x:v>
      </x:c>
      <x:c r="W112" s="97" t="n">
        <x:f aca="0">W111*($B$83-$C$83)-W110*$G$83-$H$83</x:f>
        <x:v>289356605.962521</x:v>
      </x:c>
      <x:c r="X112" s="97" t="n">
        <x:f aca="0">X111*($B$83-$C$83)-X110*$G$83-$H$83</x:f>
        <x:v>317993442.83216</x:v>
      </x:c>
      <x:c r="Y112" s="97" t="n">
        <x:f aca="0">Y111*($B$83-$C$83)-Y110*$G$83-$H$83</x:f>
        <x:v>347661981.150991</x:v>
      </x:c>
      <x:c r="Z112" s="97" t="n">
        <x:f aca="0">Z111*($B$83-$C$83)-Z110*$G$83-$H$83</x:f>
        <x:v>378437814.41513</x:v>
      </x:c>
    </x:row>
    <x:row r="113" ht="15" hidden="1" customHeight="1">
      <x:c r="A113" s="96" t="s">
        <x:v>490</x:v>
      </x:c>
      <x:c r="B113" s="97" t="n">
        <x:f aca="0">$J$83+B112</x:f>
        <x:v>1400000000</x:v>
      </x:c>
      <x:c r="C113" s="97" t="n">
        <x:f aca="0">B113+C112</x:f>
        <x:v>1229455481.6</x:v>
      </x:c>
      <x:c r="D113" s="97" t="n">
        <x:f aca="0">C113+D112</x:f>
        <x:v>1080871889.984</x:v>
      </x:c>
      <x:c r="E113" s="97" t="n">
        <x:f aca="0">D113+E112</x:f>
        <x:v>953967982.32896</x:v>
      </x:c>
      <x:c r="F113" s="97" t="n">
        <x:f aca="0">E113+F112</x:f>
        <x:v>848531211.020422</x:v>
      </x:c>
      <x:c r="G113" s="97" t="n">
        <x:f aca="0">F113+G112</x:f>
        <x:v>764416192.971957</x:v>
      </x:c>
      <x:c r="H113" s="97" t="n">
        <x:f aca="0">G113+H112</x:f>
        <x:v>701543400.337038</x:v>
      </x:c>
      <x:c r="I113" s="97" t="n">
        <x:f aca="0">H113+I112</x:f>
        <x:v>659898065.807383</x:v>
      </x:c>
      <x:c r="J113" s="97" t="n">
        <x:f aca="0">I113+J112</x:f>
        <x:v>639529296.424037</x:v>
      </x:c>
      <x:c r="K113" s="97" t="n">
        <x:f aca="0">J113+K112</x:f>
        <x:v>640549390.531946</x:v>
      </x:c>
      <x:c r="L113" s="97" t="n">
        <x:f aca="0">K113+L112</x:f>
        <x:v>663133353.188047</x:v>
      </x:c>
      <x:c r="M113" s="97" t="n">
        <x:f aca="0">L113+M112</x:f>
        <x:v>707518605.989184</x:v>
      </x:c>
      <x:c r="N113" s="97" t="n">
        <x:f aca="0">M113+N112</x:f>
        <x:v>774004887.921874</x:v>
      </x:c>
      <x:c r="O113" s="97" t="n">
        <x:f aca="0">N113+O112</x:f>
        <x:v>862954344.453204</x:v>
      </x:c>
      <x:c r="P113" s="97" t="n">
        <x:f aca="0">O113+P112</x:f>
        <x:v>974791802.682986</x:v>
      </x:c>
      <x:c r="Q113" s="97" t="n">
        <x:f aca="0">P113+Q112</x:f>
        <x:v>1110005230.96383</x:v>
      </x:c>
      <x:c r="R113" s="97" t="n">
        <x:f aca="0">Q113+R112</x:f>
        <x:v>1269146381.96992</x:v>
      </x:c>
      <x:c r="S113" s="97" t="n">
        <x:f aca="0">R113+S112</x:f>
        <x:v>1452831618.75883</x:v>
      </x:c>
      <x:c r="T113" s="97" t="n">
        <x:f aca="0">S113+T112</x:f>
        <x:v>1661742923.92577</x:v>
      </x:c>
      <x:c r="U113" s="97" t="n">
        <x:f aca="0">T113+U112</x:f>
        <x:v>1896629092.49731</x:v>
      </x:c>
      <x:c r="V113" s="97" t="n">
        <x:f aca="0">U113+V112</x:f>
        <x:v>2158307109.75491</x:v>
      </x:c>
      <x:c r="W113" s="97" t="n">
        <x:f aca="0">V113+W112</x:f>
        <x:v>2447663715.71744</x:v>
      </x:c>
      <x:c r="X113" s="97" t="n">
        <x:f aca="0">W113+X112</x:f>
        <x:v>2765657158.5496</x:v>
      </x:c>
      <x:c r="Y113" s="97" t="n">
        <x:f aca="0">X113+Y112</x:f>
        <x:v>3113319139.70059</x:v>
      </x:c>
      <x:c r="Z113" s="97" t="n">
        <x:f aca="0">Y113+Z112</x:f>
        <x:v>3491756954.11572</x:v>
      </x:c>
    </x:row>
    <x:row r="114" ht="15" hidden="1" customHeight="1">
      <x:c r="A114" s="96" t="s">
        <x:v>491</x:v>
      </x:c>
      <x:c r="B114" s="97" t="n">
        <x:f aca="0">B112</x:f>
        <x:v>-600000000</x:v>
      </x:c>
      <x:c r="C114" s="97" t="n">
        <x:f aca="0">B114+C112</x:f>
        <x:v>-770544518.4</x:v>
      </x:c>
      <x:c r="D114" s="97" t="n">
        <x:f aca="0">C114+D112</x:f>
        <x:v>-919128110.016</x:v>
      </x:c>
      <x:c r="E114" s="97" t="n">
        <x:f aca="0">D114+E112</x:f>
        <x:v>-1046032017.67104</x:v>
      </x:c>
      <x:c r="F114" s="97" t="n">
        <x:f aca="0">E114+F112</x:f>
        <x:v>-1151468788.97958</x:v>
      </x:c>
      <x:c r="G114" s="97" t="n">
        <x:f aca="0">F114+G112</x:f>
        <x:v>-1235583807.02804</x:v>
      </x:c>
      <x:c r="H114" s="97" t="n">
        <x:f aca="0">G114+H112</x:f>
        <x:v>-1298456599.66296</x:v>
      </x:c>
      <x:c r="I114" s="97" t="n">
        <x:f aca="0">H114+I112</x:f>
        <x:v>-1340101934.19262</x:v>
      </x:c>
      <x:c r="J114" s="97" t="n">
        <x:f aca="0">I114+J112</x:f>
        <x:v>-1360470703.57596</x:v>
      </x:c>
      <x:c r="K114" s="97" t="n">
        <x:f aca="0">J114+K112</x:f>
        <x:v>-1359450609.46805</x:v>
      </x:c>
      <x:c r="L114" s="97" t="n">
        <x:f aca="0">K114+L112</x:f>
        <x:v>-1336866646.81195</x:v>
      </x:c>
      <x:c r="M114" s="97" t="n">
        <x:f aca="0">L114+M112</x:f>
        <x:v>-1292481394.01082</x:v>
      </x:c>
      <x:c r="N114" s="97" t="n">
        <x:f aca="0">M114+N112</x:f>
        <x:v>-1225995112.07813</x:v>
      </x:c>
      <x:c r="O114" s="97" t="n">
        <x:f aca="0">N114+O112</x:f>
        <x:v>-1137045655.5468</x:v>
      </x:c>
      <x:c r="P114" s="97" t="n">
        <x:f aca="0">O114+P112</x:f>
        <x:v>-1025208197.31701</x:v>
      </x:c>
      <x:c r="Q114" s="97" t="n">
        <x:f aca="0">P114+Q112</x:f>
        <x:v>-889994769.036169</x:v>
      </x:c>
      <x:c r="R114" s="97" t="n">
        <x:f aca="0">Q114+R112</x:f>
        <x:v>-730853618.030084</x:v>
      </x:c>
      <x:c r="S114" s="97" t="n">
        <x:f aca="0">R114+S112</x:f>
        <x:v>-547168381.241169</x:v>
      </x:c>
      <x:c r="T114" s="97" t="n">
        <x:f aca="0">S114+T112</x:f>
        <x:v>-338257076.074233</x:v>
      </x:c>
      <x:c r="U114" s="97" t="n">
        <x:f aca="0">T114+U112</x:f>
        <x:v>-103370907.50269</x:v>
      </x:c>
      <x:c r="V114" s="97" t="n">
        <x:f aca="0">U114+V112</x:f>
        <x:v>158307109.754915</x:v>
      </x:c>
      <x:c r="W114" s="97" t="n">
        <x:f aca="0">V114+W112</x:f>
        <x:v>447663715.717436</x:v>
      </x:c>
      <x:c r="X114" s="97" t="n">
        <x:f aca="0">W114+X112</x:f>
        <x:v>765657158.549596</x:v>
      </x:c>
      <x:c r="Y114" s="97" t="n">
        <x:f aca="0">X114+Y112</x:f>
        <x:v>1113319139.70059</x:v>
      </x:c>
      <x:c r="Z114" s="97" t="n">
        <x:f aca="0">Y114+Z112</x:f>
        <x:v>1491756954.11572</x:v>
      </x:c>
    </x:row>
    <x:row r="115" ht="15" hidden="1" customHeight="1"/>
    <x:row r="116" ht="15" hidden="1" customHeight="1">
      <x:c r="A116" s="96" t="s">
        <x:v>492</x:v>
      </x:c>
      <x:c r="C116" s="98" t="n">
        <x:f aca="0">$D$84*(1+$E$84)^0</x:f>
        <x:v>30</x:v>
      </x:c>
      <x:c r="D116" s="98" t="n">
        <x:f aca="0">$D$84*(1+$E$84)^1</x:f>
        <x:v>31.5</x:v>
      </x:c>
      <x:c r="E116" s="98" t="n">
        <x:f aca="0">$D$84*(1+$E$84)^2</x:f>
        <x:v>33.075</x:v>
      </x:c>
      <x:c r="F116" s="98" t="n">
        <x:f aca="0">$D$84*(1+$E$84)^3</x:f>
        <x:v>34.72875</x:v>
      </x:c>
      <x:c r="G116" s="98" t="n">
        <x:f aca="0">$D$84*(1+$E$84)^4</x:f>
        <x:v>36.4651875</x:v>
      </x:c>
      <x:c r="H116" s="98" t="n">
        <x:f aca="0">$D$84*(1+$E$84)^5</x:f>
        <x:v>38.288446875</x:v>
      </x:c>
      <x:c r="I116" s="98" t="n">
        <x:f aca="0">$D$84*(1+$E$84)^6</x:f>
        <x:v>40.20286921875</x:v>
      </x:c>
      <x:c r="J116" s="98" t="n">
        <x:f aca="0">$D$84*(1+$E$84)^7</x:f>
        <x:v>42.2130126796875</x:v>
      </x:c>
      <x:c r="K116" s="98" t="n">
        <x:f aca="0">$D$84*(1+$E$84)^8</x:f>
        <x:v>44.3236633136719</x:v>
      </x:c>
      <x:c r="L116" s="98" t="n">
        <x:f aca="0">$D$84*(1+$E$84)^9</x:f>
        <x:v>46.5398464793555</x:v>
      </x:c>
      <x:c r="M116" s="98" t="n">
        <x:f aca="0">$D$84*(1+$E$84)^10</x:f>
        <x:v>48.8668388033233</x:v>
      </x:c>
      <x:c r="N116" s="98" t="n">
        <x:f aca="0">$D$84*(1+$E$84)^11</x:f>
        <x:v>51.3101807434894</x:v>
      </x:c>
      <x:c r="O116" s="98" t="n">
        <x:f aca="0">$D$84*(1+$E$84)^12</x:f>
        <x:v>53.8756897806639</x:v>
      </x:c>
      <x:c r="P116" s="98" t="n">
        <x:f aca="0">$D$84*(1+$E$84)^13</x:f>
        <x:v>56.5694742696971</x:v>
      </x:c>
      <x:c r="Q116" s="98" t="n">
        <x:f aca="0">$D$84*(1+$E$84)^14</x:f>
        <x:v>59.397947983182</x:v>
      </x:c>
      <x:c r="R116" s="98" t="n">
        <x:f aca="0">$D$84*(1+$E$84)^15</x:f>
        <x:v>62.3678453823411</x:v>
      </x:c>
      <x:c r="S116" s="98" t="n">
        <x:f aca="0">$D$84*(1+$E$84)^16</x:f>
        <x:v>65.4862376514581</x:v>
      </x:c>
      <x:c r="T116" s="98" t="n">
        <x:f aca="0">$D$84*(1+$E$84)^17</x:f>
        <x:v>68.760549534031</x:v>
      </x:c>
      <x:c r="U116" s="98" t="n">
        <x:f aca="0">$D$84*(1+$E$84)^18</x:f>
        <x:v>72.1985770107326</x:v>
      </x:c>
      <x:c r="V116" s="98" t="n">
        <x:f aca="0">$D$84*(1+$E$84)^19</x:f>
        <x:v>75.8085058612692</x:v>
      </x:c>
      <x:c r="W116" s="98" t="n">
        <x:f aca="0">$D$84*(1+$E$84)^20</x:f>
        <x:v>79.5989311543327</x:v>
      </x:c>
      <x:c r="X116" s="98" t="n">
        <x:f aca="0">$D$84*(1+$E$84)^21</x:f>
        <x:v>83.5788777120493</x:v>
      </x:c>
      <x:c r="Y116" s="98" t="n">
        <x:f aca="0">$D$84*(1+$E$84)^22</x:f>
        <x:v>87.7578215976518</x:v>
      </x:c>
      <x:c r="Z116" s="98" t="n">
        <x:f aca="0">$D$84*(1+$E$84)^23</x:f>
        <x:v>92.1457126775344</x:v>
      </x:c>
    </x:row>
    <x:row r="117" ht="15" hidden="1" customHeight="1">
      <x:c r="A117" s="96" t="s">
        <x:v>493</x:v>
      </x:c>
      <x:c r="B117" s="96" t="n">
        <x:v>0</x:v>
      </x:c>
      <x:c r="C117" s="98" t="n">
        <x:f aca="0">B117*(1-$F$84)+C116</x:f>
        <x:v>30</x:v>
      </x:c>
      <x:c r="D117" s="98" t="n">
        <x:f aca="0">C117*(1-$F$84)+D116</x:f>
        <x:v>60</x:v>
      </x:c>
      <x:c r="E117" s="98" t="n">
        <x:f aca="0">D117*(1-$F$84)+E116</x:f>
        <x:v>90.075</x:v>
      </x:c>
      <x:c r="F117" s="98" t="n">
        <x:f aca="0">E117*(1-$F$84)+F116</x:f>
        <x:v>120.3</x:v>
      </x:c>
      <x:c r="G117" s="98" t="n">
        <x:f aca="0">F117*(1-$F$84)+G116</x:f>
        <x:v>150.7501875</x:v>
      </x:c>
      <x:c r="H117" s="98" t="n">
        <x:f aca="0">G117*(1-$F$84)+H116</x:f>
        <x:v>181.501125</x:v>
      </x:c>
      <x:c r="I117" s="98" t="n">
        <x:f aca="0">H117*(1-$F$84)+I116</x:f>
        <x:v>212.62893796875</x:v>
      </x:c>
      <x:c r="J117" s="98" t="n">
        <x:f aca="0">I117*(1-$F$84)+J116</x:f>
        <x:v>244.21050375</x:v>
      </x:c>
      <x:c r="K117" s="98" t="n">
        <x:f aca="0">J117*(1-$F$84)+K116</x:f>
        <x:v>276.323641876172</x:v>
      </x:c>
      <x:c r="L117" s="98" t="n">
        <x:f aca="0">K117*(1-$F$84)+L116</x:f>
        <x:v>309.047306261719</x:v>
      </x:c>
      <x:c r="M117" s="98" t="n">
        <x:f aca="0">L117*(1-$F$84)+M116</x:f>
        <x:v>342.461779751956</x:v>
      </x:c>
      <x:c r="N117" s="98" t="n">
        <x:f aca="0">M117*(1-$F$84)+N116</x:f>
        <x:v>376.648871507848</x:v>
      </x:c>
      <x:c r="O117" s="98" t="n">
        <x:f aca="0">N117*(1-$F$84)+O116</x:f>
        <x:v>411.692117713119</x:v>
      </x:c>
      <x:c r="P117" s="98" t="n">
        <x:f aca="0">O117*(1-$F$84)+P116</x:f>
        <x:v>447.67698609716</x:v>
      </x:c>
      <x:c r="Q117" s="98" t="n">
        <x:f aca="0">P117*(1-$F$84)+Q116</x:f>
        <x:v>484.691084775484</x:v>
      </x:c>
      <x:c r="R117" s="98" t="n">
        <x:f aca="0">Q117*(1-$F$84)+R116</x:f>
        <x:v>522.824375919051</x:v>
      </x:c>
      <x:c r="S117" s="98" t="n">
        <x:f aca="0">R117*(1-$F$84)+S116</x:f>
        <x:v>562.169394774557</x:v>
      </x:c>
      <x:c r="T117" s="98" t="n">
        <x:f aca="0">S117*(1-$F$84)+T116</x:f>
        <x:v>602.82147456986</x:v>
      </x:c>
      <x:c r="U117" s="98" t="n">
        <x:f aca="0">T117*(1-$F$84)+U116</x:f>
        <x:v>644.878977852099</x:v>
      </x:c>
      <x:c r="V117" s="98" t="n">
        <x:f aca="0">U117*(1-$F$84)+V116</x:f>
        <x:v>688.443534820764</x:v>
      </x:c>
      <x:c r="W117" s="98" t="n">
        <x:f aca="0">V117*(1-$F$84)+W116</x:f>
        <x:v>733.620289234058</x:v>
      </x:c>
      <x:c r="X117" s="98" t="n">
        <x:f aca="0">W117*(1-$F$84)+X116</x:f>
        <x:v>780.518152484404</x:v>
      </x:c>
      <x:c r="Y117" s="98" t="n">
        <x:f aca="0">X117*(1-$F$84)+Y116</x:f>
        <x:v>829.250066457836</x:v>
      </x:c>
      <x:c r="Z117" s="98" t="n">
        <x:f aca="0">Y117*(1-$F$84)+Z116</x:f>
        <x:v>879.933275812478</x:v>
      </x:c>
    </x:row>
    <x:row r="118" ht="15" hidden="1" customHeight="1">
      <x:c r="A118" s="96" t="s">
        <x:v>494</x:v>
      </x:c>
      <x:c r="B118" s="97" t="n">
        <x:f aca="0">-$I$84</x:f>
        <x:v>-600000000</x:v>
      </x:c>
      <x:c r="C118" s="97" t="n">
        <x:f aca="0">C117*($B$84-$C$84)-C116*$G$84-$H$84</x:f>
        <x:v>-179544518.4</x:v>
      </x:c>
      <x:c r="D118" s="97" t="n">
        <x:f aca="0">D117*($B$84-$C$84)-D116*$G$84-$H$84</x:f>
        <x:v>-157789036.8</x:v>
      </x:c>
      <x:c r="E118" s="97" t="n">
        <x:f aca="0">E117*($B$84-$C$84)-E116*$G$84-$H$84</x:f>
        <x:v>-136107416.496</x:v>
      </x:c>
      <x:c r="F118" s="97" t="n">
        <x:f aca="0">F117*($B$84-$C$84)-F116*$G$84-$H$84</x:f>
        <x:v>-114445268.784</x:v>
      </x:c>
      <x:c r="G118" s="97" t="n">
        <x:f aca="0">G117*($B$84-$C$84)-G116*$G$84-$H$84</x:f>
        <x:v>-92748389.61324</x:v>
      </x:c>
      <x:c r="H118" s="97" t="n">
        <x:f aca="0">H117*($B$84-$C$84)-H116*$G$84-$H$84</x:f>
        <x:v>-70962623.61444</x:v>
      </x:c>
      <x:c r="I118" s="97" t="n">
        <x:f aca="0">I117*($B$84-$C$84)-I116*$G$84-$H$84</x:f>
        <x:v>-49033728.5896731</x:v>
      </x:c>
      <x:c r="J118" s="97" t="n">
        <x:f aca="0">J117*($B$84-$C$84)-J116*$G$84-$H$84</x:f>
        <x:v>-26907240.1239423</x:v>
      </x:c>
      <x:c r="K118" s="97" t="n">
        <x:f aca="0">K117*($B$84-$C$84)-K116*$G$84-$H$84</x:f>
        <x:v>-4528335.97968569</x:v>
      </x:c>
      <x:c r="L118" s="97" t="n">
        <x:f aca="0">L117*($B$84-$C$84)-L116*$G$84-$H$84</x:f>
        <x:v>18158300.0642611</x:v>
      </x:c>
      <x:c r="M118" s="97" t="n">
        <x:f aca="0">M117*($B$84-$C$84)-M116*$G$84-$H$84</x:f>
        <x:v>41208615.2682586</x:v>
      </x:c>
      <x:c r="N118" s="97" t="n">
        <x:f aca="0">N117*($B$84-$C$84)-N116*$G$84-$H$84</x:f>
        <x:v>64679326.2224168</x:v>
      </x:c>
      <x:c r="O118" s="97" t="n">
        <x:f aca="0">O117*($B$84-$C$84)-O116*$G$84-$H$84</x:f>
        <x:v>88628058.7147456</x:v>
      </x:c>
      <x:c r="P118" s="97" t="n">
        <x:f aca="0">P117*($B$84-$C$84)-P116*$G$84-$H$84</x:f>
        <x:v>113113489.52263</x:v>
      </x:c>
      <x:c r="Q118" s="97" t="n">
        <x:f aca="0">Q117*($B$84-$C$84)-Q116*$G$84-$H$84</x:f>
        <x:v>138195490.477302</x:v>
      </x:c>
      <x:c r="R118" s="97" t="n">
        <x:f aca="0">R117*($B$84-$C$84)-R116*$G$84-$H$84</x:f>
        <x:v>163935275.155781</x:v>
      </x:c>
      <x:c r="S118" s="97" t="n">
        <x:f aca="0">S117*($B$84-$C$84)-S116*$G$84-$H$84</x:f>
        <x:v>190395548.560452</x:v>
      </x:c>
      <x:c r="T118" s="97" t="n">
        <x:f aca="0">T117*($B$84-$C$84)-T116*$G$84-$H$84</x:f>
        <x:v>217640660.153013</x:v>
      </x:c>
      <x:c r="U118" s="97" t="n">
        <x:f aca="0">U117*($B$84-$C$84)-U116*$G$84-$H$84</x:f>
        <x:v>245736760.616976</x:v>
      </x:c>
      <x:c r="V118" s="97" t="n">
        <x:f aca="0">V117*($B$84-$C$84)-V116*$G$84-$H$84</x:f>
        <x:v>274751962.73132</x:v>
      </x:c>
      <x:c r="W118" s="97" t="n">
        <x:f aca="0">W117*($B$84-$C$84)-W116*$G$84-$H$84</x:f>
        <x:v>304756506.747207</x:v>
      </x:c>
      <x:c r="X118" s="97" t="n">
        <x:f aca="0">X117*($B$84-$C$84)-X116*$G$84-$H$84</x:f>
        <x:v>335822930.669923</x:v>
      </x:c>
      <x:c r="Y118" s="97" t="n">
        <x:f aca="0">Y117*($B$84-$C$84)-Y116*$G$84-$H$84</x:f>
        <x:v>368026245.859506</x:v>
      </x:c>
      <x:c r="Z118" s="97" t="n">
        <x:f aca="0">Z117*($B$84-$C$84)-Z116*$G$84-$H$84</x:f>
        <x:v>401444118.375764</x:v>
      </x:c>
    </x:row>
    <x:row r="119" ht="15" hidden="1" customHeight="1">
      <x:c r="A119" s="96" t="s">
        <x:v>495</x:v>
      </x:c>
      <x:c r="B119" s="97" t="n">
        <x:f aca="0">$J$84+B118</x:f>
        <x:v>1400000000</x:v>
      </x:c>
      <x:c r="C119" s="97" t="n">
        <x:f aca="0">B119+C118</x:f>
        <x:v>1220455481.6</x:v>
      </x:c>
      <x:c r="D119" s="97" t="n">
        <x:f aca="0">C119+D118</x:f>
        <x:v>1062666444.8</x:v>
      </x:c>
      <x:c r="E119" s="97" t="n">
        <x:f aca="0">D119+E118</x:f>
        <x:v>926559028.304</x:v>
      </x:c>
      <x:c r="F119" s="97" t="n">
        <x:f aca="0">E119+F118</x:f>
        <x:v>812113759.52</x:v>
      </x:c>
      <x:c r="G119" s="97" t="n">
        <x:f aca="0">F119+G118</x:f>
        <x:v>719365369.90676</x:v>
      </x:c>
      <x:c r="H119" s="97" t="n">
        <x:f aca="0">G119+H118</x:f>
        <x:v>648402746.29232</x:v>
      </x:c>
      <x:c r="I119" s="97" t="n">
        <x:f aca="0">H119+I118</x:f>
        <x:v>599369017.702647</x:v>
      </x:c>
      <x:c r="J119" s="97" t="n">
        <x:f aca="0">I119+J118</x:f>
        <x:v>572461777.578704</x:v>
      </x:c>
      <x:c r="K119" s="97" t="n">
        <x:f aca="0">J119+K118</x:f>
        <x:v>567933441.599019</x:v>
      </x:c>
      <x:c r="L119" s="97" t="n">
        <x:f aca="0">K119+L118</x:f>
        <x:v>586091741.66328</x:v>
      </x:c>
      <x:c r="M119" s="97" t="n">
        <x:f aca="0">L119+M118</x:f>
        <x:v>627300356.931538</x:v>
      </x:c>
      <x:c r="N119" s="97" t="n">
        <x:f aca="0">M119+N118</x:f>
        <x:v>691979683.153955</x:v>
      </x:c>
      <x:c r="O119" s="97" t="n">
        <x:f aca="0">N119+O118</x:f>
        <x:v>780607741.868701</x:v>
      </x:c>
      <x:c r="P119" s="97" t="n">
        <x:f aca="0">O119+P118</x:f>
        <x:v>893721231.391331</x:v>
      </x:c>
      <x:c r="Q119" s="97" t="n">
        <x:f aca="0">P119+Q118</x:f>
        <x:v>1031916721.86863</x:v>
      </x:c>
      <x:c r="R119" s="97" t="n">
        <x:f aca="0">Q119+R118</x:f>
        <x:v>1195851997.02441</x:v>
      </x:c>
      <x:c r="S119" s="97" t="n">
        <x:f aca="0">R119+S118</x:f>
        <x:v>1386247545.58487</x:v>
      </x:c>
      <x:c r="T119" s="97" t="n">
        <x:f aca="0">S119+T118</x:f>
        <x:v>1603888205.73788</x:v>
      </x:c>
      <x:c r="U119" s="97" t="n">
        <x:f aca="0">T119+U118</x:f>
        <x:v>1849624966.35485</x:v>
      </x:c>
      <x:c r="V119" s="97" t="n">
        <x:f aca="0">U119+V118</x:f>
        <x:v>2124376929.08618</x:v>
      </x:c>
      <x:c r="W119" s="97" t="n">
        <x:f aca="0">V119+W118</x:f>
        <x:v>2429133435.83338</x:v>
      </x:c>
      <x:c r="X119" s="97" t="n">
        <x:f aca="0">W119+X118</x:f>
        <x:v>2764956366.50331</x:v>
      </x:c>
      <x:c r="Y119" s="97" t="n">
        <x:f aca="0">X119+Y118</x:f>
        <x:v>3132982612.36281</x:v>
      </x:c>
      <x:c r="Z119" s="97" t="n">
        <x:f aca="0">Y119+Z118</x:f>
        <x:v>3534426730.73858</x:v>
      </x:c>
    </x:row>
    <x:row r="120" ht="15" hidden="1" customHeight="1">
      <x:c r="A120" s="96" t="s">
        <x:v>496</x:v>
      </x:c>
      <x:c r="B120" s="97" t="n">
        <x:f aca="0">B118</x:f>
        <x:v>-600000000</x:v>
      </x:c>
      <x:c r="C120" s="97" t="n">
        <x:f aca="0">B120+C118</x:f>
        <x:v>-779544518.4</x:v>
      </x:c>
      <x:c r="D120" s="97" t="n">
        <x:f aca="0">C120+D118</x:f>
        <x:v>-937333555.2</x:v>
      </x:c>
      <x:c r="E120" s="97" t="n">
        <x:f aca="0">D120+E118</x:f>
        <x:v>-1073440971.696</x:v>
      </x:c>
      <x:c r="F120" s="97" t="n">
        <x:f aca="0">E120+F118</x:f>
        <x:v>-1187886240.48</x:v>
      </x:c>
      <x:c r="G120" s="97" t="n">
        <x:f aca="0">F120+G118</x:f>
        <x:v>-1280634630.09324</x:v>
      </x:c>
      <x:c r="H120" s="97" t="n">
        <x:f aca="0">G120+H118</x:f>
        <x:v>-1351597253.70768</x:v>
      </x:c>
      <x:c r="I120" s="97" t="n">
        <x:f aca="0">H120+I118</x:f>
        <x:v>-1400630982.29735</x:v>
      </x:c>
      <x:c r="J120" s="97" t="n">
        <x:f aca="0">I120+J118</x:f>
        <x:v>-1427538222.4213</x:v>
      </x:c>
      <x:c r="K120" s="97" t="n">
        <x:f aca="0">J120+K118</x:f>
        <x:v>-1432066558.40098</x:v>
      </x:c>
      <x:c r="L120" s="97" t="n">
        <x:f aca="0">K120+L118</x:f>
        <x:v>-1413908258.33672</x:v>
      </x:c>
      <x:c r="M120" s="97" t="n">
        <x:f aca="0">L120+M118</x:f>
        <x:v>-1372699643.06846</x:v>
      </x:c>
      <x:c r="N120" s="97" t="n">
        <x:f aca="0">M120+N118</x:f>
        <x:v>-1308020316.84604</x:v>
      </x:c>
      <x:c r="O120" s="97" t="n">
        <x:f aca="0">N120+O118</x:f>
        <x:v>-1219392258.1313</x:v>
      </x:c>
      <x:c r="P120" s="97" t="n">
        <x:f aca="0">O120+P118</x:f>
        <x:v>-1106278768.60867</x:v>
      </x:c>
      <x:c r="Q120" s="97" t="n">
        <x:f aca="0">P120+Q118</x:f>
        <x:v>-968083278.131366</x:v>
      </x:c>
      <x:c r="R120" s="97" t="n">
        <x:f aca="0">Q120+R118</x:f>
        <x:v>-804148002.975586</x:v>
      </x:c>
      <x:c r="S120" s="97" t="n">
        <x:f aca="0">R120+S118</x:f>
        <x:v>-613752454.415134</x:v>
      </x:c>
      <x:c r="T120" s="97" t="n">
        <x:f aca="0">S120+T118</x:f>
        <x:v>-396111794.26212</x:v>
      </x:c>
      <x:c r="U120" s="97" t="n">
        <x:f aca="0">T120+U118</x:f>
        <x:v>-150375033.645145</x:v>
      </x:c>
      <x:c r="V120" s="97" t="n">
        <x:f aca="0">U120+V118</x:f>
        <x:v>124376929.086176</x:v>
      </x:c>
      <x:c r="W120" s="97" t="n">
        <x:f aca="0">V120+W118</x:f>
        <x:v>429133435.833383</x:v>
      </x:c>
      <x:c r="X120" s="97" t="n">
        <x:f aca="0">W120+X118</x:f>
        <x:v>764956366.503306</x:v>
      </x:c>
      <x:c r="Y120" s="97" t="n">
        <x:f aca="0">X120+Y118</x:f>
        <x:v>1132982612.36281</x:v>
      </x:c>
      <x:c r="Z120" s="97" t="n">
        <x:f aca="0">Y120+Z118</x:f>
        <x:v>1534426730.73858</x:v>
      </x:c>
    </x:row>
    <x:row r="121" ht="15" hidden="1" customHeight="1"/>
    <x:row r="122" ht="15" hidden="1" customHeight="1">
      <x:c r="A122" s="96" t="s">
        <x:v>497</x:v>
      </x:c>
      <x:c r="C122" s="98" t="n">
        <x:f aca="0">$D$85*(1+$E$85)^0</x:f>
        <x:v>24</x:v>
      </x:c>
      <x:c r="D122" s="98" t="n">
        <x:f aca="0">$D$85*(1+$E$85)^1</x:f>
        <x:v>25.2</x:v>
      </x:c>
      <x:c r="E122" s="98" t="n">
        <x:f aca="0">$D$85*(1+$E$85)^2</x:f>
        <x:v>26.46</x:v>
      </x:c>
      <x:c r="F122" s="98" t="n">
        <x:f aca="0">$D$85*(1+$E$85)^3</x:f>
        <x:v>27.783</x:v>
      </x:c>
      <x:c r="G122" s="98" t="n">
        <x:f aca="0">$D$85*(1+$E$85)^4</x:f>
        <x:v>29.17215</x:v>
      </x:c>
      <x:c r="H122" s="98" t="n">
        <x:f aca="0">$D$85*(1+$E$85)^5</x:f>
        <x:v>30.6307575</x:v>
      </x:c>
      <x:c r="I122" s="98" t="n">
        <x:f aca="0">$D$85*(1+$E$85)^6</x:f>
        <x:v>32.162295375</x:v>
      </x:c>
      <x:c r="J122" s="98" t="n">
        <x:f aca="0">$D$85*(1+$E$85)^7</x:f>
        <x:v>33.77041014375</x:v>
      </x:c>
      <x:c r="K122" s="98" t="n">
        <x:f aca="0">$D$85*(1+$E$85)^8</x:f>
        <x:v>35.4589306509375</x:v>
      </x:c>
      <x:c r="L122" s="98" t="n">
        <x:f aca="0">$D$85*(1+$E$85)^9</x:f>
        <x:v>37.2318771834844</x:v>
      </x:c>
      <x:c r="M122" s="98" t="n">
        <x:f aca="0">$D$85*(1+$E$85)^10</x:f>
        <x:v>39.0934710426586</x:v>
      </x:c>
      <x:c r="N122" s="98" t="n">
        <x:f aca="0">$D$85*(1+$E$85)^11</x:f>
        <x:v>41.0481445947915</x:v>
      </x:c>
      <x:c r="O122" s="98" t="n">
        <x:f aca="0">$D$85*(1+$E$85)^12</x:f>
        <x:v>43.1005518245311</x:v>
      </x:c>
      <x:c r="P122" s="98" t="n">
        <x:f aca="0">$D$85*(1+$E$85)^13</x:f>
        <x:v>45.2555794157577</x:v>
      </x:c>
      <x:c r="Q122" s="98" t="n">
        <x:f aca="0">$D$85*(1+$E$85)^14</x:f>
        <x:v>47.5183583865456</x:v>
      </x:c>
      <x:c r="R122" s="98" t="n">
        <x:f aca="0">$D$85*(1+$E$85)^15</x:f>
        <x:v>49.8942763058729</x:v>
      </x:c>
      <x:c r="S122" s="98" t="n">
        <x:f aca="0">$D$85*(1+$E$85)^16</x:f>
        <x:v>52.3889901211665</x:v>
      </x:c>
      <x:c r="T122" s="98" t="n">
        <x:f aca="0">$D$85*(1+$E$85)^17</x:f>
        <x:v>55.0084396272248</x:v>
      </x:c>
      <x:c r="U122" s="98" t="n">
        <x:f aca="0">$D$85*(1+$E$85)^18</x:f>
        <x:v>57.7588616085861</x:v>
      </x:c>
      <x:c r="V122" s="98" t="n">
        <x:f aca="0">$D$85*(1+$E$85)^19</x:f>
        <x:v>60.6468046890154</x:v>
      </x:c>
      <x:c r="W122" s="98" t="n">
        <x:f aca="0">$D$85*(1+$E$85)^20</x:f>
        <x:v>63.6791449234661</x:v>
      </x:c>
      <x:c r="X122" s="98" t="n">
        <x:f aca="0">$D$85*(1+$E$85)^21</x:f>
        <x:v>66.8631021696395</x:v>
      </x:c>
      <x:c r="Y122" s="98" t="n">
        <x:f aca="0">$D$85*(1+$E$85)^22</x:f>
        <x:v>70.2062572781214</x:v>
      </x:c>
      <x:c r="Z122" s="98" t="n">
        <x:f aca="0">$D$85*(1+$E$85)^23</x:f>
        <x:v>73.7165701420275</x:v>
      </x:c>
    </x:row>
    <x:row r="123" ht="15" hidden="1" customHeight="1">
      <x:c r="A123" s="96" t="s">
        <x:v>498</x:v>
      </x:c>
      <x:c r="B123" s="96" t="n">
        <x:v>0</x:v>
      </x:c>
      <x:c r="C123" s="98" t="n">
        <x:f aca="0">B123*(1-$F$85)+C122</x:f>
        <x:v>24</x:v>
      </x:c>
      <x:c r="D123" s="98" t="n">
        <x:f aca="0">C123*(1-$F$85)+D122</x:f>
        <x:v>48</x:v>
      </x:c>
      <x:c r="E123" s="98" t="n">
        <x:f aca="0">D123*(1-$F$85)+E122</x:f>
        <x:v>72.06</x:v>
      </x:c>
      <x:c r="F123" s="98" t="n">
        <x:f aca="0">E123*(1-$F$85)+F122</x:f>
        <x:v>96.24</x:v>
      </x:c>
      <x:c r="G123" s="98" t="n">
        <x:f aca="0">F123*(1-$F$85)+G122</x:f>
        <x:v>120.60015</x:v>
      </x:c>
      <x:c r="H123" s="98" t="n">
        <x:f aca="0">G123*(1-$F$85)+H122</x:f>
        <x:v>145.2009</x:v>
      </x:c>
      <x:c r="I123" s="98" t="n">
        <x:f aca="0">H123*(1-$F$85)+I122</x:f>
        <x:v>170.103150375</x:v>
      </x:c>
      <x:c r="J123" s="98" t="n">
        <x:f aca="0">I123*(1-$F$85)+J122</x:f>
        <x:v>195.368403</x:v>
      </x:c>
      <x:c r="K123" s="98" t="n">
        <x:f aca="0">J123*(1-$F$85)+K122</x:f>
        <x:v>221.058913500938</x:v>
      </x:c>
      <x:c r="L123" s="98" t="n">
        <x:f aca="0">K123*(1-$F$85)+L122</x:f>
        <x:v>247.237845009375</x:v>
      </x:c>
      <x:c r="M123" s="98" t="n">
        <x:f aca="0">L123*(1-$F$85)+M122</x:f>
        <x:v>273.969423801565</x:v>
      </x:c>
      <x:c r="N123" s="98" t="n">
        <x:f aca="0">M123*(1-$F$85)+N122</x:f>
        <x:v>301.319097206278</x:v>
      </x:c>
      <x:c r="O123" s="98" t="n">
        <x:f aca="0">N123*(1-$F$85)+O122</x:f>
        <x:v>329.353694170495</x:v>
      </x:c>
      <x:c r="P123" s="98" t="n">
        <x:f aca="0">O123*(1-$F$85)+P122</x:f>
        <x:v>358.141588877728</x:v>
      </x:c>
      <x:c r="Q123" s="98" t="n">
        <x:f aca="0">P123*(1-$F$85)+Q122</x:f>
        <x:v>387.752867820387</x:v>
      </x:c>
      <x:c r="R123" s="98" t="n">
        <x:f aca="0">Q123*(1-$F$85)+R122</x:f>
        <x:v>418.259500735241</x:v>
      </x:c>
      <x:c r="S123" s="98" t="n">
        <x:f aca="0">R123*(1-$F$85)+S122</x:f>
        <x:v>449.735515819645</x:v>
      </x:c>
      <x:c r="T123" s="98" t="n">
        <x:f aca="0">S123*(1-$F$85)+T122</x:f>
        <x:v>482.257179655888</x:v>
      </x:c>
      <x:c r="U123" s="98" t="n">
        <x:f aca="0">T123*(1-$F$85)+U122</x:f>
        <x:v>515.90318228168</x:v>
      </x:c>
      <x:c r="V123" s="98" t="n">
        <x:f aca="0">U123*(1-$F$85)+V122</x:f>
        <x:v>550.754827856611</x:v>
      </x:c>
      <x:c r="W123" s="98" t="n">
        <x:f aca="0">V123*(1-$F$85)+W122</x:f>
        <x:v>586.896231387246</x:v>
      </x:c>
      <x:c r="X123" s="98" t="n">
        <x:f aca="0">W123*(1-$F$85)+X122</x:f>
        <x:v>624.414521987524</x:v>
      </x:c>
      <x:c r="Y123" s="98" t="n">
        <x:f aca="0">X123*(1-$F$85)+Y122</x:f>
        <x:v>663.400053166269</x:v>
      </x:c>
      <x:c r="Z123" s="98" t="n">
        <x:f aca="0">Y123*(1-$F$85)+Z122</x:f>
        <x:v>703.946620649983</x:v>
      </x:c>
    </x:row>
    <x:row r="124" ht="15" hidden="1" customHeight="1">
      <x:c r="A124" s="96" t="s">
        <x:v>499</x:v>
      </x:c>
      <x:c r="B124" s="97" t="n">
        <x:f aca="0">-$I$85</x:f>
        <x:v>-600000000</x:v>
      </x:c>
      <x:c r="C124" s="97" t="n">
        <x:f aca="0">C123*($B$85-$C$85)-C122*$G$85-$H$85</x:f>
        <x:v>-166435614.72</x:v>
      </x:c>
      <x:c r="D124" s="97" t="n">
        <x:f aca="0">D123*($B$85-$C$85)-D122*$G$85-$H$85</x:f>
        <x:v>-148671229.44</x:v>
      </x:c>
      <x:c r="E124" s="97" t="n">
        <x:f aca="0">E123*($B$85-$C$85)-E122*$G$85-$H$85</x:f>
        <x:v>-130947933.1968</x:v>
      </x:c>
      <x:c r="F124" s="97" t="n">
        <x:f aca="0">F123*($B$85-$C$85)-F122*$G$85-$H$85</x:f>
        <x:v>-113221315.0272</x:v>
      </x:c>
      <x:c r="G124" s="97" t="n">
        <x:f aca="0">G123*($B$85-$C$85)-G122*$G$85-$H$85</x:f>
        <x:v>-95447066.690592</x:v>
      </x:c>
      <x:c r="H124" s="97" t="n">
        <x:f aca="0">H123*($B$85-$C$85)-H122*$G$85-$H$85</x:f>
        <x:v>-77580871.641552</x:v>
      </x:c>
      <x:c r="I124" s="97" t="n">
        <x:f aca="0">I123*($B$85-$C$85)-I122*$G$85-$H$85</x:f>
        <x:v>-59578294.2592385</x:v>
      </x:c>
      <x:c r="J124" s="97" t="n">
        <x:f aca="0">J123*($B$85-$C$85)-J122*$G$85-$H$85</x:f>
        <x:v>-41394669.0560289</x:v>
      </x:c>
      <x:c r="K124" s="97" t="n">
        <x:f aca="0">K123*($B$85-$C$85)-K122*$G$85-$H$85</x:f>
        <x:v>-22984989.5884673</x:v>
      </x:c>
      <x:c r="L124" s="97" t="n">
        <x:f aca="0">L123*($B$85-$C$85)-L122*$G$85-$H$85</x:f>
        <x:v>-4303796.79354584</x:v>
      </x:c>
      <x:c r="M124" s="97" t="n">
        <x:f aca="0">M123*($B$85-$C$85)-M122*$G$85-$H$85</x:f>
        <x:v>14694933.5274045</x:v>
      </x:c>
      <x:c r="N124" s="97" t="n">
        <x:f aca="0">N123*($B$85-$C$85)-N122*$G$85-$H$85</x:f>
        <x:v>34057904.3563709</x:v>
      </x:c>
      <x:c r="O124" s="97" t="n">
        <x:f aca="0">O123*($B$85-$C$85)-O122*$G$85-$H$85</x:f>
        <x:v>53832612.5191559</x:v>
      </x:c>
      <x:c r="P124" s="97" t="n">
        <x:f aca="0">P123*($B$85-$C$85)-P122*$G$85-$H$85</x:f>
        <x:v>74067465.4428318</x:v>
      </x:c>
      <x:c r="Q124" s="97" t="n">
        <x:f aca="0">Q123*($B$85-$C$85)-Q122*$G$85-$H$85</x:f>
        <x:v>94811899.8978055</x:v>
      </x:c>
      <x:c r="R124" s="97" t="n">
        <x:f aca="0">R123*($B$85-$C$85)-R122*$G$85-$H$85</x:f>
        <x:v>116116503.016386</x:v>
      </x:c>
      <x:c r="S124" s="97" t="n">
        <x:f aca="0">S123*($B$85-$C$85)-S122*$G$85-$H$85</x:f>
        <x:v>138033135.884712</x:v>
      </x:c>
      <x:c r="T124" s="97" t="n">
        <x:f aca="0">T123*($B$85-$C$85)-T122*$G$85-$H$85</x:f>
        <x:v>160615060.010578</x:v>
      </x:c>
      <x:c r="U124" s="97" t="n">
        <x:f aca="0">U123*($B$85-$C$85)-U122*$G$85-$H$85</x:f>
        <x:v>183917066.976156</x:v>
      </x:c>
      <x:c r="V124" s="97" t="n">
        <x:f aca="0">V123*($B$85-$C$85)-V122*$G$85-$H$85</x:f>
        <x:v>207995611.591761</x:v>
      </x:c>
      <x:c r="W124" s="97" t="n">
        <x:f aca="0">W123*($B$85-$C$85)-W122*$G$85-$H$85</x:f>
        <x:v>232908948.874806</x:v>
      </x:c>
      <x:c r="X124" s="97" t="n">
        <x:f aca="0">X123*($B$85-$C$85)-X122*$G$85-$H$85</x:f>
        <x:v>258717275.18683</x:v>
      </x:c>
      <x:c r="Y124" s="97" t="n">
        <x:f aca="0">Y123*($B$85-$C$85)-Y122*$G$85-$H$85</x:f>
        <x:v>285482873.871041</x:v>
      </x:c>
      <x:c r="Z124" s="97" t="n">
        <x:f aca="0">Z123*($B$85-$C$85)-Z122*$G$85-$H$85</x:f>
        <x:v>313270265.74322</x:v>
      </x:c>
    </x:row>
    <x:row r="125" ht="15" hidden="1" customHeight="1">
      <x:c r="A125" s="96" t="s">
        <x:v>500</x:v>
      </x:c>
      <x:c r="B125" s="97" t="n">
        <x:f aca="0">$J$85+B124</x:f>
        <x:v>1400000000</x:v>
      </x:c>
      <x:c r="C125" s="97" t="n">
        <x:f aca="0">B125+C124</x:f>
        <x:v>1233564385.28</x:v>
      </x:c>
      <x:c r="D125" s="97" t="n">
        <x:f aca="0">C125+D124</x:f>
        <x:v>1084893155.84</x:v>
      </x:c>
      <x:c r="E125" s="97" t="n">
        <x:f aca="0">D125+E124</x:f>
        <x:v>953945222.6432</x:v>
      </x:c>
      <x:c r="F125" s="97" t="n">
        <x:f aca="0">E125+F124</x:f>
        <x:v>840723907.616</x:v>
      </x:c>
      <x:c r="G125" s="97" t="n">
        <x:f aca="0">F125+G124</x:f>
        <x:v>745276840.925408</x:v>
      </x:c>
      <x:c r="H125" s="97" t="n">
        <x:f aca="0">G125+H124</x:f>
        <x:v>667695969.283856</x:v>
      </x:c>
      <x:c r="I125" s="97" t="n">
        <x:f aca="0">H125+I124</x:f>
        <x:v>608117675.024617</x:v>
      </x:c>
      <x:c r="J125" s="97" t="n">
        <x:f aca="0">I125+J124</x:f>
        <x:v>566723005.968589</x:v>
      </x:c>
      <x:c r="K125" s="97" t="n">
        <x:f aca="0">J125+K124</x:f>
        <x:v>543738016.380121</x:v>
      </x:c>
      <x:c r="L125" s="97" t="n">
        <x:f aca="0">K125+L124</x:f>
        <x:v>539434219.586575</x:v>
      </x:c>
      <x:c r="M125" s="97" t="n">
        <x:f aca="0">L125+M124</x:f>
        <x:v>554129153.11398</x:v>
      </x:c>
      <x:c r="N125" s="97" t="n">
        <x:f aca="0">M125+N124</x:f>
        <x:v>588187057.470351</x:v>
      </x:c>
      <x:c r="O125" s="97" t="n">
        <x:f aca="0">N125+O124</x:f>
        <x:v>642019669.989507</x:v>
      </x:c>
      <x:c r="P125" s="97" t="n">
        <x:f aca="0">O125+P124</x:f>
        <x:v>716087135.432338</x:v>
      </x:c>
      <x:c r="Q125" s="97" t="n">
        <x:f aca="0">P125+Q124</x:f>
        <x:v>810899035.330144</x:v>
      </x:c>
      <x:c r="R125" s="97" t="n">
        <x:f aca="0">Q125+R124</x:f>
        <x:v>927015538.34653</x:v>
      </x:c>
      <x:c r="S125" s="97" t="n">
        <x:f aca="0">R125+S124</x:f>
        <x:v>1065048674.23124</x:v>
      </x:c>
      <x:c r="T125" s="97" t="n">
        <x:f aca="0">S125+T124</x:f>
        <x:v>1225663734.24182</x:v>
      </x:c>
      <x:c r="U125" s="97" t="n">
        <x:f aca="0">T125+U124</x:f>
        <x:v>1409580801.21798</x:v>
      </x:c>
      <x:c r="V125" s="97" t="n">
        <x:f aca="0">U125+V124</x:f>
        <x:v>1617576412.80974</x:v>
      </x:c>
      <x:c r="W125" s="97" t="n">
        <x:f aca="0">V125+W124</x:f>
        <x:v>1850485361.68454</x:v>
      </x:c>
      <x:c r="X125" s="97" t="n">
        <x:f aca="0">W125+X124</x:f>
        <x:v>2109202636.87137</x:v>
      </x:c>
      <x:c r="Y125" s="97" t="n">
        <x:f aca="0">X125+Y124</x:f>
        <x:v>2394685510.74241</x:v>
      </x:c>
      <x:c r="Z125" s="97" t="n">
        <x:f aca="0">Y125+Z124</x:f>
        <x:v>2707955776.48563</x:v>
      </x:c>
    </x:row>
    <x:row r="126" ht="15" hidden="1" customHeight="1">
      <x:c r="A126" s="96" t="s">
        <x:v>501</x:v>
      </x:c>
      <x:c r="B126" s="97" t="n">
        <x:f aca="0">B124</x:f>
        <x:v>-600000000</x:v>
      </x:c>
      <x:c r="C126" s="97" t="n">
        <x:f aca="0">B126+C124</x:f>
        <x:v>-766435614.72</x:v>
      </x:c>
      <x:c r="D126" s="97" t="n">
        <x:f aca="0">C126+D124</x:f>
        <x:v>-915106844.16</x:v>
      </x:c>
      <x:c r="E126" s="97" t="n">
        <x:f aca="0">D126+E124</x:f>
        <x:v>-1046054777.3568</x:v>
      </x:c>
      <x:c r="F126" s="97" t="n">
        <x:f aca="0">E126+F124</x:f>
        <x:v>-1159276092.384</x:v>
      </x:c>
      <x:c r="G126" s="97" t="n">
        <x:f aca="0">F126+G124</x:f>
        <x:v>-1254723159.07459</x:v>
      </x:c>
      <x:c r="H126" s="97" t="n">
        <x:f aca="0">G126+H124</x:f>
        <x:v>-1332304030.71614</x:v>
      </x:c>
      <x:c r="I126" s="97" t="n">
        <x:f aca="0">H126+I124</x:f>
        <x:v>-1391882324.97538</x:v>
      </x:c>
      <x:c r="J126" s="97" t="n">
        <x:f aca="0">I126+J124</x:f>
        <x:v>-1433276994.03141</x:v>
      </x:c>
      <x:c r="K126" s="97" t="n">
        <x:f aca="0">J126+K124</x:f>
        <x:v>-1456261983.61988</x:v>
      </x:c>
      <x:c r="L126" s="97" t="n">
        <x:f aca="0">K126+L124</x:f>
        <x:v>-1460565780.41342</x:v>
      </x:c>
      <x:c r="M126" s="97" t="n">
        <x:f aca="0">L126+M124</x:f>
        <x:v>-1445870846.88602</x:v>
      </x:c>
      <x:c r="N126" s="97" t="n">
        <x:f aca="0">M126+N124</x:f>
        <x:v>-1411812942.52965</x:v>
      </x:c>
      <x:c r="O126" s="97" t="n">
        <x:f aca="0">N126+O124</x:f>
        <x:v>-1357980330.01049</x:v>
      </x:c>
      <x:c r="P126" s="97" t="n">
        <x:f aca="0">O126+P124</x:f>
        <x:v>-1283912864.56766</x:v>
      </x:c>
      <x:c r="Q126" s="97" t="n">
        <x:f aca="0">P126+Q124</x:f>
        <x:v>-1189100964.66986</x:v>
      </x:c>
      <x:c r="R126" s="97" t="n">
        <x:f aca="0">Q126+R124</x:f>
        <x:v>-1072984461.65347</x:v>
      </x:c>
      <x:c r="S126" s="97" t="n">
        <x:f aca="0">R126+S124</x:f>
        <x:v>-934951325.768758</x:v>
      </x:c>
      <x:c r="T126" s="97" t="n">
        <x:f aca="0">S126+T124</x:f>
        <x:v>-774336265.75818</x:v>
      </x:c>
      <x:c r="U126" s="97" t="n">
        <x:f aca="0">T126+U124</x:f>
        <x:v>-590419198.782023</x:v>
      </x:c>
      <x:c r="V126" s="97" t="n">
        <x:f aca="0">U126+V124</x:f>
        <x:v>-382423587.190263</x:v>
      </x:c>
      <x:c r="W126" s="97" t="n">
        <x:f aca="0">V126+W124</x:f>
        <x:v>-149514638.315457</x:v>
      </x:c>
      <x:c r="X126" s="97" t="n">
        <x:f aca="0">W126+X124</x:f>
        <x:v>109202636.871373</x:v>
      </x:c>
      <x:c r="Y126" s="97" t="n">
        <x:f aca="0">X126+Y124</x:f>
        <x:v>394685510.742414</x:v>
      </x:c>
      <x:c r="Z126" s="97" t="n">
        <x:f aca="0">Y126+Z124</x:f>
        <x:v>707955776.485634</x:v>
      </x:c>
    </x:row>
    <x:row r="127" ht="15" hidden="1" customHeight="1"/>
    <x:row r="128" ht="15" hidden="1" customHeight="1">
      <x:c r="A128" s="96" t="s">
        <x:v>502</x:v>
      </x:c>
      <x:c r="C128" s="98" t="n">
        <x:f aca="0">$D$86*(1+$E$86)^0</x:f>
        <x:v>30</x:v>
      </x:c>
      <x:c r="D128" s="98" t="n">
        <x:f aca="0">$D$86*(1+$E$86)^1</x:f>
        <x:v>31.2</x:v>
      </x:c>
      <x:c r="E128" s="98" t="n">
        <x:f aca="0">$D$86*(1+$E$86)^2</x:f>
        <x:v>32.448</x:v>
      </x:c>
      <x:c r="F128" s="98" t="n">
        <x:f aca="0">$D$86*(1+$E$86)^3</x:f>
        <x:v>33.74592</x:v>
      </x:c>
      <x:c r="G128" s="98" t="n">
        <x:f aca="0">$D$86*(1+$E$86)^4</x:f>
        <x:v>35.0957568</x:v>
      </x:c>
      <x:c r="H128" s="98" t="n">
        <x:f aca="0">$D$86*(1+$E$86)^5</x:f>
        <x:v>36.499587072</x:v>
      </x:c>
      <x:c r="I128" s="98" t="n">
        <x:f aca="0">$D$86*(1+$E$86)^6</x:f>
        <x:v>37.95957055488</x:v>
      </x:c>
      <x:c r="J128" s="98" t="n">
        <x:f aca="0">$D$86*(1+$E$86)^7</x:f>
        <x:v>39.4779533770752</x:v>
      </x:c>
      <x:c r="K128" s="98" t="n">
        <x:f aca="0">$D$86*(1+$E$86)^8</x:f>
        <x:v>41.0570715121582</x:v>
      </x:c>
      <x:c r="L128" s="98" t="n">
        <x:f aca="0">$D$86*(1+$E$86)^9</x:f>
        <x:v>42.6993543726446</x:v>
      </x:c>
      <x:c r="M128" s="98" t="n">
        <x:f aca="0">$D$86*(1+$E$86)^10</x:f>
        <x:v>44.4073285475503</x:v>
      </x:c>
      <x:c r="N128" s="98" t="n">
        <x:f aca="0">$D$86*(1+$E$86)^11</x:f>
        <x:v>46.1836216894523</x:v>
      </x:c>
      <x:c r="O128" s="98" t="n">
        <x:f aca="0">$D$86*(1+$E$86)^12</x:f>
        <x:v>48.0309665570304</x:v>
      </x:c>
      <x:c r="P128" s="98" t="n">
        <x:f aca="0">$D$86*(1+$E$86)^13</x:f>
        <x:v>49.9522052193117</x:v>
      </x:c>
      <x:c r="Q128" s="98" t="n">
        <x:f aca="0">$D$86*(1+$E$86)^14</x:f>
        <x:v>51.9502934280841</x:v>
      </x:c>
      <x:c r="R128" s="98" t="n">
        <x:f aca="0">$D$86*(1+$E$86)^15</x:f>
        <x:v>54.0283051652075</x:v>
      </x:c>
      <x:c r="S128" s="98" t="n">
        <x:f aca="0">$D$86*(1+$E$86)^16</x:f>
        <x:v>56.1894373718158</x:v>
      </x:c>
      <x:c r="T128" s="98" t="n">
        <x:f aca="0">$D$86*(1+$E$86)^17</x:f>
        <x:v>58.4370148666884</x:v>
      </x:c>
      <x:c r="U128" s="98" t="n">
        <x:f aca="0">$D$86*(1+$E$86)^18</x:f>
        <x:v>60.774495461356</x:v>
      </x:c>
      <x:c r="V128" s="98" t="n">
        <x:f aca="0">$D$86*(1+$E$86)^19</x:f>
        <x:v>63.2054752798102</x:v>
      </x:c>
      <x:c r="W128" s="98" t="n">
        <x:f aca="0">$D$86*(1+$E$86)^20</x:f>
        <x:v>65.7336942910026</x:v>
      </x:c>
      <x:c r="X128" s="98" t="n">
        <x:f aca="0">$D$86*(1+$E$86)^21</x:f>
        <x:v>68.3630420626427</x:v>
      </x:c>
      <x:c r="Y128" s="98" t="n">
        <x:f aca="0">$D$86*(1+$E$86)^22</x:f>
        <x:v>71.0975637451484</x:v>
      </x:c>
      <x:c r="Z128" s="98" t="n">
        <x:f aca="0">$D$86*(1+$E$86)^23</x:f>
        <x:v>73.9414662949544</x:v>
      </x:c>
    </x:row>
    <x:row r="129" ht="15" hidden="1" customHeight="1">
      <x:c r="A129" s="96" t="s">
        <x:v>503</x:v>
      </x:c>
      <x:c r="B129" s="96" t="n">
        <x:v>0</x:v>
      </x:c>
      <x:c r="C129" s="98" t="n">
        <x:f aca="0">B129*(1-$F$86)+C128</x:f>
        <x:v>30</x:v>
      </x:c>
      <x:c r="D129" s="98" t="n">
        <x:f aca="0">C129*(1-$F$86)+D128</x:f>
        <x:v>59.7</x:v>
      </x:c>
      <x:c r="E129" s="98" t="n">
        <x:f aca="0">D129*(1-$F$86)+E128</x:f>
        <x:v>89.163</x:v>
      </x:c>
      <x:c r="F129" s="98" t="n">
        <x:f aca="0">E129*(1-$F$86)+F128</x:f>
        <x:v>118.45077</x:v>
      </x:c>
      <x:c r="G129" s="98" t="n">
        <x:f aca="0">F129*(1-$F$86)+G128</x:f>
        <x:v>147.6239883</x:v>
      </x:c>
      <x:c r="H129" s="98" t="n">
        <x:f aca="0">G129*(1-$F$86)+H128</x:f>
        <x:v>176.742375957</x:v>
      </x:c>
      <x:c r="I129" s="98" t="n">
        <x:f aca="0">H129*(1-$F$86)+I128</x:f>
        <x:v>205.86482771403</x:v>
      </x:c>
      <x:c r="J129" s="98" t="n">
        <x:f aca="0">I129*(1-$F$86)+J128</x:f>
        <x:v>235.049539705404</x:v>
      </x:c>
      <x:c r="K129" s="98" t="n">
        <x:f aca="0">J129*(1-$F$86)+K128</x:f>
        <x:v>264.354134232292</x:v>
      </x:c>
      <x:c r="L129" s="98" t="n">
        <x:f aca="0">K129*(1-$F$86)+L128</x:f>
        <x:v>293.835781893322</x:v>
      </x:c>
      <x:c r="M129" s="98" t="n">
        <x:f aca="0">L129*(1-$F$86)+M128</x:f>
        <x:v>323.551321346206</x:v>
      </x:c>
      <x:c r="N129" s="98" t="n">
        <x:f aca="0">M129*(1-$F$86)+N128</x:f>
        <x:v>353.557376968348</x:v>
      </x:c>
      <x:c r="O129" s="98" t="n">
        <x:f aca="0">N129*(1-$F$86)+O128</x:f>
        <x:v>383.910474676961</x:v>
      </x:c>
      <x:c r="P129" s="98" t="n">
        <x:f aca="0">O129*(1-$F$86)+P128</x:f>
        <x:v>414.667156162425</x:v>
      </x:c>
      <x:c r="Q129" s="98" t="n">
        <x:f aca="0">P129*(1-$F$86)+Q128</x:f>
        <x:v>445.884091782388</x:v>
      </x:c>
      <x:c r="R129" s="98" t="n">
        <x:f aca="0">Q129*(1-$F$86)+R128</x:f>
        <x:v>477.618192358476</x:v>
      </x:c>
      <x:c r="S129" s="98" t="n">
        <x:f aca="0">R129*(1-$F$86)+S128</x:f>
        <x:v>509.926720112368</x:v>
      </x:c>
      <x:c r="T129" s="98" t="n">
        <x:f aca="0">S129*(1-$F$86)+T128</x:f>
        <x:v>542.867398973438</x:v>
      </x:c>
      <x:c r="U129" s="98" t="n">
        <x:f aca="0">T129*(1-$F$86)+U128</x:f>
        <x:v>576.498524486122</x:v>
      </x:c>
      <x:c r="V129" s="98" t="n">
        <x:f aca="0">U129*(1-$F$86)+V128</x:f>
        <x:v>610.879073541626</x:v>
      </x:c>
      <x:c r="W129" s="98" t="n">
        <x:f aca="0">V129*(1-$F$86)+W128</x:f>
        <x:v>646.068814155547</x:v>
      </x:c>
      <x:c r="X129" s="98" t="n">
        <x:f aca="0">W129*(1-$F$86)+X128</x:f>
        <x:v>682.128415510413</x:v>
      </x:c>
      <x:c r="Y129" s="98" t="n">
        <x:f aca="0">X129*(1-$F$86)+Y128</x:f>
        <x:v>719.119558480041</x:v>
      </x:c>
      <x:c r="Z129" s="98" t="n">
        <x:f aca="0">Y129*(1-$F$86)+Z128</x:f>
        <x:v>757.105046850993</x:v>
      </x:c>
    </x:row>
    <x:row r="130" ht="15" hidden="1" customHeight="1">
      <x:c r="A130" s="96" t="s">
        <x:v>504</x:v>
      </x:c>
      <x:c r="B130" s="97" t="n">
        <x:f aca="0">-$I$86</x:f>
        <x:v>-600000000</x:v>
      </x:c>
      <x:c r="C130" s="97" t="n">
        <x:f aca="0">C129*($B$86-$C$86)-C128*$G$86-$H$86</x:f>
        <x:v>-170544518.4</x:v>
      </x:c>
      <x:c r="D130" s="97" t="n">
        <x:f aca="0">D129*($B$86-$C$86)-D128*$G$86-$H$86</x:f>
        <x:v>-148133591.616</x:v>
      </x:c>
      <x:c r="E130" s="97" t="n">
        <x:f aca="0">E129*($B$86-$C$86)-E128*$G$86-$H$86</x:f>
        <x:v>-125987863.13664</x:v>
      </x:c>
      <x:c r="F130" s="97" t="n">
        <x:f aca="0">F129*($B$86-$C$86)-F128*$G$86-$H$86</x:f>
        <x:v>-104059859.125306</x:v>
      </x:c>
      <x:c r="G130" s="97" t="n">
        <x:f aca="0">G129*($B$86-$C$86)-G128*$G$86-$H$86</x:f>
        <x:v>-82303110.8803578</x:v>
      </x:c>
      <x:c r="H130" s="97" t="n">
        <x:f aca="0">H129*($B$86-$C$86)-H128*$G$86-$H$86</x:f>
        <x:v>-60672049.8361101</x:v>
      </x:c>
      <x:c r="I130" s="97" t="n">
        <x:f aca="0">I129*($B$86-$C$86)-I128*$G$86-$H$86</x:f>
        <x:v>-39121905.6240656</x:v>
      </x:c>
      <x:c r="J130" s="97" t="n">
        <x:f aca="0">J129*($B$86-$C$86)-J128*$G$86-$H$86</x:f>
        <x:v>-17608606.9538139</x:v>
      </x:c>
      <x:c r="K130" s="97" t="n">
        <x:f aca="0">K129*($B$86-$C$86)-K128*$G$86-$H$86</x:f>
        <x:v>3911314.91848734</x:v>
      </x:c>
      <x:c r="L130" s="97" t="n">
        <x:f aca="0">L129*($B$86-$C$86)-L128*$G$86-$H$86</x:f>
        <x:v>25480820.3581579</x:v>
      </x:c>
      <x:c r="M130" s="97" t="n">
        <x:f aca="0">M129*($B$86-$C$86)-M128*$G$86-$H$86</x:f>
        <x:v>47142453.3732687</x:v>
      </x:c>
      <x:c r="N130" s="97" t="n">
        <x:f aca="0">N129*($B$86-$C$86)-N128*$G$86-$H$86</x:f>
        <x:v>68938431.6989448</x:v>
      </x:c>
      <x:c r="O130" s="97" t="n">
        <x:f aca="0">O129*($B$86-$C$86)-O128*$G$86-$H$86</x:f>
        <x:v>90910735.1481106</x:v>
      </x:c>
      <x:c r="P130" s="97" t="n">
        <x:f aca="0">P129*($B$86-$C$86)-P128*$G$86-$H$86</x:f>
        <x:v>113101192.426183</x:v>
      </x:c>
      <x:c r="Q130" s="97" t="n">
        <x:f aca="0">Q129*($B$86-$C$86)-Q128*$G$86-$H$86</x:f>
        <x:v>135551566.60177</x:v>
      </x:c>
      <x:c r="R130" s="97" t="n">
        <x:f aca="0">R129*($B$86-$C$86)-R128*$G$86-$H$86</x:f>
        <x:v>158303639.420454</x:v>
      </x:c>
      <x:c r="S130" s="97" t="n">
        <x:f aca="0">S129*($B$86-$C$86)-S128*$G$86-$H$86</x:f>
        <x:v>181399294.644155</x:v>
      </x:c>
      <x:c r="T130" s="97" t="n">
        <x:f aca="0">T129*($B$86-$C$86)-T128*$G$86-$H$86</x:f>
        <x:v>204880600.59446</x:v>
      </x:c>
      <x:c r="U130" s="97" t="n">
        <x:f aca="0">U129*($B$86-$C$86)-U128*$G$86-$H$86</x:f>
        <x:v>228789892.074549</x:v>
      </x:c>
      <x:c r="V130" s="97" t="n">
        <x:f aca="0">V129*($B$86-$C$86)-V128*$G$86-$H$86</x:f>
        <x:v>253169851.841027</x:v>
      </x:c>
      <x:c r="W130" s="97" t="n">
        <x:f aca="0">W129*($B$86-$C$86)-W128*$G$86-$H$86</x:f>
        <x:v>278063591.79399</x:v>
      </x:c>
      <x:c r="X130" s="97" t="n">
        <x:f aca="0">X129*($B$86-$C$86)-X128*$G$86-$H$86</x:f>
        <x:v>303514734.051104</x:v>
      </x:c>
      <x:c r="Y130" s="97" t="n">
        <x:f aca="0">Y129*($B$86-$C$86)-Y128*$G$86-$H$86</x:f>
        <x:v>329567492.069236</x:v>
      </x:c>
      <x:c r="Z130" s="97" t="n">
        <x:f aca="0">Z129*($B$86-$C$86)-Z128*$G$86-$H$86</x:f>
        <x:v>356266751.975288</x:v>
      </x:c>
    </x:row>
    <x:row r="131" ht="15" hidden="1" customHeight="1">
      <x:c r="A131" s="96" t="s">
        <x:v>505</x:v>
      </x:c>
      <x:c r="B131" s="97" t="n">
        <x:f aca="0">$J$86+B130</x:f>
        <x:v>1400000000</x:v>
      </x:c>
      <x:c r="C131" s="97" t="n">
        <x:f aca="0">B131+C130</x:f>
        <x:v>1229455481.6</x:v>
      </x:c>
      <x:c r="D131" s="97" t="n">
        <x:f aca="0">C131+D130</x:f>
        <x:v>1081321889.984</x:v>
      </x:c>
      <x:c r="E131" s="97" t="n">
        <x:f aca="0">D131+E130</x:f>
        <x:v>955334026.84736</x:v>
      </x:c>
      <x:c r="F131" s="97" t="n">
        <x:f aca="0">E131+F130</x:f>
        <x:v>851274167.722055</x:v>
      </x:c>
      <x:c r="G131" s="97" t="n">
        <x:f aca="0">F131+G130</x:f>
        <x:v>768971056.841697</x:v>
      </x:c>
      <x:c r="H131" s="97" t="n">
        <x:f aca="0">G131+H130</x:f>
        <x:v>708299007.005587</x:v>
      </x:c>
      <x:c r="I131" s="97" t="n">
        <x:f aca="0">H131+I130</x:f>
        <x:v>669177101.381521</x:v>
      </x:c>
      <x:c r="J131" s="97" t="n">
        <x:f aca="0">I131+J130</x:f>
        <x:v>651568494.427707</x:v>
      </x:c>
      <x:c r="K131" s="97" t="n">
        <x:f aca="0">J131+K130</x:f>
        <x:v>655479809.346194</x:v>
      </x:c>
      <x:c r="L131" s="97" t="n">
        <x:f aca="0">K131+L130</x:f>
        <x:v>680960629.704352</x:v>
      </x:c>
      <x:c r="M131" s="97" t="n">
        <x:f aca="0">L131+M130</x:f>
        <x:v>728103083.077621</x:v>
      </x:c>
      <x:c r="N131" s="97" t="n">
        <x:f aca="0">M131+N130</x:f>
        <x:v>797041514.776566</x:v>
      </x:c>
      <x:c r="O131" s="97" t="n">
        <x:f aca="0">N131+O130</x:f>
        <x:v>887952249.924676</x:v>
      </x:c>
      <x:c r="P131" s="97" t="n">
        <x:f aca="0">O131+P130</x:f>
        <x:v>1001053442.35086</x:v>
      </x:c>
      <x:c r="Q131" s="97" t="n">
        <x:f aca="0">P131+Q130</x:f>
        <x:v>1136605008.95263</x:v>
      </x:c>
      <x:c r="R131" s="97" t="n">
        <x:f aca="0">Q131+R130</x:f>
        <x:v>1294908648.37308</x:v>
      </x:c>
      <x:c r="S131" s="97" t="n">
        <x:f aca="0">R131+S130</x:f>
        <x:v>1476307943.01724</x:v>
      </x:c>
      <x:c r="T131" s="97" t="n">
        <x:f aca="0">S131+T130</x:f>
        <x:v>1681188543.6117</x:v>
      </x:c>
      <x:c r="U131" s="97" t="n">
        <x:f aca="0">T131+U130</x:f>
        <x:v>1909978435.68625</x:v>
      </x:c>
      <x:c r="V131" s="97" t="n">
        <x:f aca="0">U131+V130</x:f>
        <x:v>2163148287.52727</x:v>
      </x:c>
      <x:c r="W131" s="97" t="n">
        <x:f aca="0">V131+W130</x:f>
        <x:v>2441211879.32126</x:v>
      </x:c>
      <x:c r="X131" s="97" t="n">
        <x:f aca="0">W131+X130</x:f>
        <x:v>2744726613.37237</x:v>
      </x:c>
      <x:c r="Y131" s="97" t="n">
        <x:f aca="0">X131+Y130</x:f>
        <x:v>3074294105.4416</x:v>
      </x:c>
      <x:c r="Z131" s="97" t="n">
        <x:f aca="0">Y131+Z130</x:f>
        <x:v>3430560857.41689</x:v>
      </x:c>
    </x:row>
    <x:row r="132" ht="15" hidden="1" customHeight="1">
      <x:c r="A132" s="96" t="s">
        <x:v>506</x:v>
      </x:c>
      <x:c r="B132" s="97" t="n">
        <x:f aca="0">B130</x:f>
        <x:v>-600000000</x:v>
      </x:c>
      <x:c r="C132" s="97" t="n">
        <x:f aca="0">B132+C130</x:f>
        <x:v>-770544518.4</x:v>
      </x:c>
      <x:c r="D132" s="97" t="n">
        <x:f aca="0">C132+D130</x:f>
        <x:v>-918678110.016</x:v>
      </x:c>
      <x:c r="E132" s="97" t="n">
        <x:f aca="0">D132+E130</x:f>
        <x:v>-1044665973.15264</x:v>
      </x:c>
      <x:c r="F132" s="97" t="n">
        <x:f aca="0">E132+F130</x:f>
        <x:v>-1148725832.27795</x:v>
      </x:c>
      <x:c r="G132" s="97" t="n">
        <x:f aca="0">F132+G130</x:f>
        <x:v>-1231028943.1583</x:v>
      </x:c>
      <x:c r="H132" s="97" t="n">
        <x:f aca="0">G132+H130</x:f>
        <x:v>-1291700992.99441</x:v>
      </x:c>
      <x:c r="I132" s="97" t="n">
        <x:f aca="0">H132+I130</x:f>
        <x:v>-1330822898.61848</x:v>
      </x:c>
      <x:c r="J132" s="97" t="n">
        <x:f aca="0">I132+J130</x:f>
        <x:v>-1348431505.57229</x:v>
      </x:c>
      <x:c r="K132" s="97" t="n">
        <x:f aca="0">J132+K130</x:f>
        <x:v>-1344520190.65381</x:v>
      </x:c>
      <x:c r="L132" s="97" t="n">
        <x:f aca="0">K132+L130</x:f>
        <x:v>-1319039370.29565</x:v>
      </x:c>
      <x:c r="M132" s="97" t="n">
        <x:f aca="0">L132+M130</x:f>
        <x:v>-1271896916.92238</x:v>
      </x:c>
      <x:c r="N132" s="97" t="n">
        <x:f aca="0">M132+N130</x:f>
        <x:v>-1202958485.22343</x:v>
      </x:c>
      <x:c r="O132" s="97" t="n">
        <x:f aca="0">N132+O130</x:f>
        <x:v>-1112047750.07532</x:v>
      </x:c>
      <x:c r="P132" s="97" t="n">
        <x:f aca="0">O132+P130</x:f>
        <x:v>-998946557.649141</x:v>
      </x:c>
      <x:c r="Q132" s="97" t="n">
        <x:f aca="0">P132+Q130</x:f>
        <x:v>-863394991.047371</x:v>
      </x:c>
      <x:c r="R132" s="97" t="n">
        <x:f aca="0">Q132+R130</x:f>
        <x:v>-705091351.626917</x:v>
      </x:c>
      <x:c r="S132" s="97" t="n">
        <x:f aca="0">R132+S130</x:f>
        <x:v>-523692056.982762</x:v>
      </x:c>
      <x:c r="T132" s="97" t="n">
        <x:f aca="0">S132+T130</x:f>
        <x:v>-318811456.388302</x:v>
      </x:c>
      <x:c r="U132" s="97" t="n">
        <x:f aca="0">T132+U130</x:f>
        <x:v>-90021564.313753</x:v>
      </x:c>
      <x:c r="V132" s="97" t="n">
        <x:f aca="0">U132+V130</x:f>
        <x:v>163148287.527274</x:v>
      </x:c>
      <x:c r="W132" s="97" t="n">
        <x:f aca="0">V132+W130</x:f>
        <x:v>441211879.321264</x:v>
      </x:c>
      <x:c r="X132" s="97" t="n">
        <x:f aca="0">W132+X130</x:f>
        <x:v>744726613.372368</x:v>
      </x:c>
      <x:c r="Y132" s="97" t="n">
        <x:f aca="0">X132+Y130</x:f>
        <x:v>1074294105.4416</x:v>
      </x:c>
      <x:c r="Z132" s="97" t="n">
        <x:f aca="0">Y132+Z130</x:f>
        <x:v>1430560857.41689</x:v>
      </x:c>
    </x:row>
    <x:row r="133" ht="15" hidden="1" customHeight="1"/>
    <x:row r="134" ht="15" hidden="1" customHeight="1">
      <x:c r="A134" s="96" t="s">
        <x:v>507</x:v>
      </x:c>
      <x:c r="C134" s="98" t="n">
        <x:f aca="0">$D$87*(1+$E$87)^0</x:f>
        <x:v>30</x:v>
      </x:c>
      <x:c r="D134" s="98" t="n">
        <x:f aca="0">$D$87*(1+$E$87)^1</x:f>
        <x:v>31.5</x:v>
      </x:c>
      <x:c r="E134" s="98" t="n">
        <x:f aca="0">$D$87*(1+$E$87)^2</x:f>
        <x:v>33.075</x:v>
      </x:c>
      <x:c r="F134" s="98" t="n">
        <x:f aca="0">$D$87*(1+$E$87)^3</x:f>
        <x:v>34.72875</x:v>
      </x:c>
      <x:c r="G134" s="98" t="n">
        <x:f aca="0">$D$87*(1+$E$87)^4</x:f>
        <x:v>36.4651875</x:v>
      </x:c>
      <x:c r="H134" s="98" t="n">
        <x:f aca="0">$D$87*(1+$E$87)^5</x:f>
        <x:v>38.288446875</x:v>
      </x:c>
      <x:c r="I134" s="98" t="n">
        <x:f aca="0">$D$87*(1+$E$87)^6</x:f>
        <x:v>40.20286921875</x:v>
      </x:c>
      <x:c r="J134" s="98" t="n">
        <x:f aca="0">$D$87*(1+$E$87)^7</x:f>
        <x:v>42.2130126796875</x:v>
      </x:c>
      <x:c r="K134" s="98" t="n">
        <x:f aca="0">$D$87*(1+$E$87)^8</x:f>
        <x:v>44.3236633136719</x:v>
      </x:c>
      <x:c r="L134" s="98" t="n">
        <x:f aca="0">$D$87*(1+$E$87)^9</x:f>
        <x:v>46.5398464793555</x:v>
      </x:c>
      <x:c r="M134" s="98" t="n">
        <x:f aca="0">$D$87*(1+$E$87)^10</x:f>
        <x:v>48.8668388033233</x:v>
      </x:c>
      <x:c r="N134" s="98" t="n">
        <x:f aca="0">$D$87*(1+$E$87)^11</x:f>
        <x:v>51.3101807434894</x:v>
      </x:c>
      <x:c r="O134" s="98" t="n">
        <x:f aca="0">$D$87*(1+$E$87)^12</x:f>
        <x:v>53.8756897806639</x:v>
      </x:c>
      <x:c r="P134" s="98" t="n">
        <x:f aca="0">$D$87*(1+$E$87)^13</x:f>
        <x:v>56.5694742696971</x:v>
      </x:c>
      <x:c r="Q134" s="98" t="n">
        <x:f aca="0">$D$87*(1+$E$87)^14</x:f>
        <x:v>59.397947983182</x:v>
      </x:c>
      <x:c r="R134" s="98" t="n">
        <x:f aca="0">$D$87*(1+$E$87)^15</x:f>
        <x:v>62.3678453823411</x:v>
      </x:c>
      <x:c r="S134" s="98" t="n">
        <x:f aca="0">$D$87*(1+$E$87)^16</x:f>
        <x:v>65.4862376514581</x:v>
      </x:c>
      <x:c r="T134" s="98" t="n">
        <x:f aca="0">$D$87*(1+$E$87)^17</x:f>
        <x:v>68.760549534031</x:v>
      </x:c>
      <x:c r="U134" s="98" t="n">
        <x:f aca="0">$D$87*(1+$E$87)^18</x:f>
        <x:v>72.1985770107326</x:v>
      </x:c>
      <x:c r="V134" s="98" t="n">
        <x:f aca="0">$D$87*(1+$E$87)^19</x:f>
        <x:v>75.8085058612692</x:v>
      </x:c>
      <x:c r="W134" s="98" t="n">
        <x:f aca="0">$D$87*(1+$E$87)^20</x:f>
        <x:v>79.5989311543327</x:v>
      </x:c>
      <x:c r="X134" s="98" t="n">
        <x:f aca="0">$D$87*(1+$E$87)^21</x:f>
        <x:v>83.5788777120493</x:v>
      </x:c>
      <x:c r="Y134" s="98" t="n">
        <x:f aca="0">$D$87*(1+$E$87)^22</x:f>
        <x:v>87.7578215976518</x:v>
      </x:c>
      <x:c r="Z134" s="98" t="n">
        <x:f aca="0">$D$87*(1+$E$87)^23</x:f>
        <x:v>92.1457126775344</x:v>
      </x:c>
    </x:row>
    <x:row r="135" ht="15" hidden="1" customHeight="1">
      <x:c r="A135" s="96" t="s">
        <x:v>508</x:v>
      </x:c>
      <x:c r="B135" s="96" t="n">
        <x:v>0</x:v>
      </x:c>
      <x:c r="C135" s="98" t="n">
        <x:f aca="0">B135*(1-$F$87)+C134</x:f>
        <x:v>30</x:v>
      </x:c>
      <x:c r="D135" s="98" t="n">
        <x:f aca="0">C135*(1-$F$87)+D134</x:f>
        <x:v>60</x:v>
      </x:c>
      <x:c r="E135" s="98" t="n">
        <x:f aca="0">D135*(1-$F$87)+E134</x:f>
        <x:v>90.075</x:v>
      </x:c>
      <x:c r="F135" s="98" t="n">
        <x:f aca="0">E135*(1-$F$87)+F134</x:f>
        <x:v>120.3</x:v>
      </x:c>
      <x:c r="G135" s="98" t="n">
        <x:f aca="0">F135*(1-$F$87)+G134</x:f>
        <x:v>150.7501875</x:v>
      </x:c>
      <x:c r="H135" s="98" t="n">
        <x:f aca="0">G135*(1-$F$87)+H134</x:f>
        <x:v>181.501125</x:v>
      </x:c>
      <x:c r="I135" s="98" t="n">
        <x:f aca="0">H135*(1-$F$87)+I134</x:f>
        <x:v>212.62893796875</x:v>
      </x:c>
      <x:c r="J135" s="98" t="n">
        <x:f aca="0">I135*(1-$F$87)+J134</x:f>
        <x:v>244.21050375</x:v>
      </x:c>
      <x:c r="K135" s="98" t="n">
        <x:f aca="0">J135*(1-$F$87)+K134</x:f>
        <x:v>276.323641876172</x:v>
      </x:c>
      <x:c r="L135" s="98" t="n">
        <x:f aca="0">K135*(1-$F$87)+L134</x:f>
        <x:v>309.047306261719</x:v>
      </x:c>
      <x:c r="M135" s="98" t="n">
        <x:f aca="0">L135*(1-$F$87)+M134</x:f>
        <x:v>342.461779751956</x:v>
      </x:c>
      <x:c r="N135" s="98" t="n">
        <x:f aca="0">M135*(1-$F$87)+N134</x:f>
        <x:v>376.648871507848</x:v>
      </x:c>
      <x:c r="O135" s="98" t="n">
        <x:f aca="0">N135*(1-$F$87)+O134</x:f>
        <x:v>411.692117713119</x:v>
      </x:c>
      <x:c r="P135" s="98" t="n">
        <x:f aca="0">O135*(1-$F$87)+P134</x:f>
        <x:v>447.67698609716</x:v>
      </x:c>
      <x:c r="Q135" s="98" t="n">
        <x:f aca="0">P135*(1-$F$87)+Q134</x:f>
        <x:v>484.691084775484</x:v>
      </x:c>
      <x:c r="R135" s="98" t="n">
        <x:f aca="0">Q135*(1-$F$87)+R134</x:f>
        <x:v>522.824375919051</x:v>
      </x:c>
      <x:c r="S135" s="98" t="n">
        <x:f aca="0">R135*(1-$F$87)+S134</x:f>
        <x:v>562.169394774557</x:v>
      </x:c>
      <x:c r="T135" s="98" t="n">
        <x:f aca="0">S135*(1-$F$87)+T134</x:f>
        <x:v>602.82147456986</x:v>
      </x:c>
      <x:c r="U135" s="98" t="n">
        <x:f aca="0">T135*(1-$F$87)+U134</x:f>
        <x:v>644.878977852099</x:v>
      </x:c>
      <x:c r="V135" s="98" t="n">
        <x:f aca="0">U135*(1-$F$87)+V134</x:f>
        <x:v>688.443534820764</x:v>
      </x:c>
      <x:c r="W135" s="98" t="n">
        <x:f aca="0">V135*(1-$F$87)+W134</x:f>
        <x:v>733.620289234058</x:v>
      </x:c>
      <x:c r="X135" s="98" t="n">
        <x:f aca="0">W135*(1-$F$87)+X134</x:f>
        <x:v>780.518152484404</x:v>
      </x:c>
      <x:c r="Y135" s="98" t="n">
        <x:f aca="0">X135*(1-$F$87)+Y134</x:f>
        <x:v>829.250066457836</x:v>
      </x:c>
      <x:c r="Z135" s="98" t="n">
        <x:f aca="0">Y135*(1-$F$87)+Z134</x:f>
        <x:v>879.933275812478</x:v>
      </x:c>
    </x:row>
    <x:row r="136" ht="15" hidden="1" customHeight="1">
      <x:c r="A136" s="96" t="s">
        <x:v>509</x:v>
      </x:c>
      <x:c r="B136" s="97" t="n">
        <x:f aca="0">-$I$87</x:f>
        <x:v>-600000000</x:v>
      </x:c>
      <x:c r="C136" s="97" t="n">
        <x:f aca="0">C135*($B$87-$C$87)-C134*$G$87-$H$87</x:f>
        <x:v>-200544518.4</x:v>
      </x:c>
      <x:c r="D136" s="97" t="n">
        <x:f aca="0">D135*($B$87-$C$87)-D134*$G$87-$H$87</x:f>
        <x:v>-178339036.8</x:v>
      </x:c>
      <x:c r="E136" s="97" t="n">
        <x:f aca="0">E135*($B$87-$C$87)-E134*$G$87-$H$87</x:f>
        <x:v>-156184916.496</x:v>
      </x:c>
      <x:c r="F136" s="97" t="n">
        <x:f aca="0">F135*($B$87-$C$87)-F134*$G$87-$H$87</x:f>
        <x:v>-134026643.784</x:v>
      </x:c>
      <x:c r="G136" s="97" t="n">
        <x:f aca="0">G135*($B$87-$C$87)-G134*$G$87-$H$87</x:f>
        <x:v>-111808833.36324</x:v>
      </x:c>
      <x:c r="H136" s="97" t="n">
        <x:f aca="0">H135*($B$87-$C$87)-H134*$G$87-$H$87</x:f>
        <x:v>-89476089.55194</x:v>
      </x:c>
      <x:c r="I136" s="97" t="n">
        <x:f aca="0">I135*($B$87-$C$87)-I134*$G$87-$H$87</x:f>
        <x:v>-66972867.8240481</x:v>
      </x:c>
      <x:c r="J136" s="97" t="n">
        <x:f aca="0">J135*($B$87-$C$87)-J134*$G$87-$H$87</x:f>
        <x:v>-44243336.3200361</x:v>
      </x:c>
      <x:c r="K136" s="97" t="n">
        <x:f aca="0">K135*($B$87-$C$87)-K134*$G$87-$H$87</x:f>
        <x:v>-21231236.9855841</x:v>
      </x:c>
      <x:c r="L136" s="97" t="n">
        <x:f aca="0">L135*($B$87-$C$87)-L134*$G$87-$H$87</x:f>
        <x:v>2120254.00806773</x:v>
      </x:c>
      <x:c r="M136" s="97" t="n">
        <x:f aca="0">M135*($B$87-$C$87)-M134*$G$87-$H$87</x:f>
        <x:v>25868666.9092556</x:v>
      </x:c>
      <x:c r="N136" s="97" t="n">
        <x:f aca="0">N135*($B$87-$C$87)-N134*$G$87-$H$87</x:f>
        <x:v>50072380.4454636</x:v>
      </x:c>
      <x:c r="O136" s="97" t="n">
        <x:f aca="0">O135*($B$87-$C$87)-O134*$G$87-$H$87</x:f>
        <x:v>74790765.6489448</x:v>
      </x:c>
      <x:c r="P136" s="97" t="n">
        <x:f aca="0">P135*($B$87-$C$87)-P134*$G$87-$H$87</x:f>
        <x:v>100084331.80354</x:v>
      </x:c>
      <x:c r="Q136" s="97" t="n">
        <x:f aca="0">Q135*($B$87-$C$87)-Q134*$G$87-$H$87</x:f>
        <x:v>126014874.872257</x:v>
      </x:c>
      <x:c r="R136" s="97" t="n">
        <x:f aca="0">R135*($B$87-$C$87)-R134*$G$87-$H$87</x:f>
        <x:v>152645628.770483</x:v>
      </x:c>
      <x:c r="S136" s="97" t="n">
        <x:f aca="0">S135*($B$87-$C$87)-S134*$G$87-$H$87</x:f>
        <x:v>180041419.85589</x:v>
      </x:c>
      <x:c r="T136" s="97" t="n">
        <x:f aca="0">T135*($B$87-$C$87)-T134*$G$87-$H$87</x:f>
        <x:v>208268825.013223</x:v>
      </x:c>
      <x:c r="U136" s="97" t="n">
        <x:f aca="0">U135*($B$87-$C$87)-U134*$G$87-$H$87</x:f>
        <x:v>237396333.720195</x:v>
      </x:c>
      <x:c r="V136" s="97" t="n">
        <x:f aca="0">V135*($B$87-$C$87)-V134*$G$87-$H$87</x:f>
        <x:v>267494514.489701</x:v>
      </x:c>
      <x:c r="W136" s="97" t="n">
        <x:f aca="0">W135*($B$87-$C$87)-W134*$G$87-$H$87</x:f>
        <x:v>298636186.093507</x:v>
      </x:c>
      <x:c r="X136" s="97" t="n">
        <x:f aca="0">X135*($B$87-$C$87)-X134*$G$87-$H$87</x:f>
        <x:v>330896593.983538</x:v>
      </x:c>
      <x:c r="Y136" s="97" t="n">
        <x:f aca="0">Y135*($B$87-$C$87)-Y134*$G$87-$H$87</x:f>
        <x:v>364353592.338802</x:v>
      </x:c>
      <x:c r="Z136" s="97" t="n">
        <x:f aca="0">Z135*($B$87-$C$87)-Z134*$G$87-$H$87</x:f>
        <x:v>399087832.179025</x:v>
      </x:c>
    </x:row>
    <x:row r="137" ht="15" hidden="1" customHeight="1">
      <x:c r="A137" s="96" t="s">
        <x:v>510</x:v>
      </x:c>
      <x:c r="B137" s="97" t="n">
        <x:f aca="0">$J$87+B136</x:f>
        <x:v>1400000000</x:v>
      </x:c>
      <x:c r="C137" s="97" t="n">
        <x:f aca="0">B137+C136</x:f>
        <x:v>1199455481.6</x:v>
      </x:c>
      <x:c r="D137" s="97" t="n">
        <x:f aca="0">C137+D136</x:f>
        <x:v>1021116444.8</x:v>
      </x:c>
      <x:c r="E137" s="97" t="n">
        <x:f aca="0">D137+E136</x:f>
        <x:v>864931528.304</x:v>
      </x:c>
      <x:c r="F137" s="97" t="n">
        <x:f aca="0">E137+F136</x:f>
        <x:v>730904884.52</x:v>
      </x:c>
      <x:c r="G137" s="97" t="n">
        <x:f aca="0">F137+G136</x:f>
        <x:v>619096051.15676</x:v>
      </x:c>
      <x:c r="H137" s="97" t="n">
        <x:f aca="0">G137+H136</x:f>
        <x:v>529619961.60482</x:v>
      </x:c>
      <x:c r="I137" s="97" t="n">
        <x:f aca="0">H137+I136</x:f>
        <x:v>462647093.780772</x:v>
      </x:c>
      <x:c r="J137" s="97" t="n">
        <x:f aca="0">I137+J136</x:f>
        <x:v>418403757.460736</x:v>
      </x:c>
      <x:c r="K137" s="97" t="n">
        <x:f aca="0">J137+K136</x:f>
        <x:v>397172520.475152</x:v>
      </x:c>
      <x:c r="L137" s="97" t="n">
        <x:f aca="0">K137+L136</x:f>
        <x:v>399292774.483219</x:v>
      </x:c>
      <x:c r="M137" s="97" t="n">
        <x:f aca="0">L137+M136</x:f>
        <x:v>425161441.392475</x:v>
      </x:c>
      <x:c r="N137" s="97" t="n">
        <x:f aca="0">M137+N136</x:f>
        <x:v>475233821.837938</x:v>
      </x:c>
      <x:c r="O137" s="97" t="n">
        <x:f aca="0">N137+O136</x:f>
        <x:v>550024587.486883</x:v>
      </x:c>
      <x:c r="P137" s="97" t="n">
        <x:f aca="0">O137+P136</x:f>
        <x:v>650108919.290423</x:v>
      </x:c>
      <x:c r="Q137" s="97" t="n">
        <x:f aca="0">P137+Q136</x:f>
        <x:v>776123794.162679</x:v>
      </x:c>
      <x:c r="R137" s="97" t="n">
        <x:f aca="0">Q137+R136</x:f>
        <x:v>928769422.933162</x:v>
      </x:c>
      <x:c r="S137" s="97" t="n">
        <x:f aca="0">R137+S136</x:f>
        <x:v>1108810842.78905</x:v>
      </x:c>
      <x:c r="T137" s="97" t="n">
        <x:f aca="0">S137+T136</x:f>
        <x:v>1317079667.80227</x:v>
      </x:c>
      <x:c r="U137" s="97" t="n">
        <x:f aca="0">T137+U136</x:f>
        <x:v>1554476001.52247</x:v>
      </x:c>
      <x:c r="V137" s="97" t="n">
        <x:f aca="0">U137+V136</x:f>
        <x:v>1821970516.01217</x:v>
      </x:c>
      <x:c r="W137" s="97" t="n">
        <x:f aca="0">V137+W136</x:f>
        <x:v>2120606702.10568</x:v>
      </x:c>
      <x:c r="X137" s="97" t="n">
        <x:f aca="0">W137+X136</x:f>
        <x:v>2451503296.08922</x:v>
      </x:c>
      <x:c r="Y137" s="97" t="n">
        <x:f aca="0">X137+Y136</x:f>
        <x:v>2815856888.42802</x:v>
      </x:c>
      <x:c r="Z137" s="97" t="n">
        <x:f aca="0">Y137+Z136</x:f>
        <x:v>3214944720.60704</x:v>
      </x:c>
    </x:row>
    <x:row r="138" ht="15" hidden="1" customHeight="1">
      <x:c r="A138" s="96" t="s">
        <x:v>511</x:v>
      </x:c>
      <x:c r="B138" s="97" t="n">
        <x:f aca="0">B136</x:f>
        <x:v>-600000000</x:v>
      </x:c>
      <x:c r="C138" s="97" t="n">
        <x:f aca="0">B138+C136</x:f>
        <x:v>-800544518.4</x:v>
      </x:c>
      <x:c r="D138" s="97" t="n">
        <x:f aca="0">C138+D136</x:f>
        <x:v>-978883555.2</x:v>
      </x:c>
      <x:c r="E138" s="97" t="n">
        <x:f aca="0">D138+E136</x:f>
        <x:v>-1135068471.696</x:v>
      </x:c>
      <x:c r="F138" s="97" t="n">
        <x:f aca="0">E138+F136</x:f>
        <x:v>-1269095115.48</x:v>
      </x:c>
      <x:c r="G138" s="97" t="n">
        <x:f aca="0">F138+G136</x:f>
        <x:v>-1380903948.84324</x:v>
      </x:c>
      <x:c r="H138" s="97" t="n">
        <x:f aca="0">G138+H136</x:f>
        <x:v>-1470380038.39518</x:v>
      </x:c>
      <x:c r="I138" s="97" t="n">
        <x:f aca="0">H138+I136</x:f>
        <x:v>-1537352906.21923</x:v>
      </x:c>
      <x:c r="J138" s="97" t="n">
        <x:f aca="0">I138+J136</x:f>
        <x:v>-1581596242.53926</x:v>
      </x:c>
      <x:c r="K138" s="97" t="n">
        <x:f aca="0">J138+K136</x:f>
        <x:v>-1602827479.52485</x:v>
      </x:c>
      <x:c r="L138" s="97" t="n">
        <x:f aca="0">K138+L136</x:f>
        <x:v>-1600707225.51678</x:v>
      </x:c>
      <x:c r="M138" s="97" t="n">
        <x:f aca="0">L138+M136</x:f>
        <x:v>-1574838558.60752</x:v>
      </x:c>
      <x:c r="N138" s="97" t="n">
        <x:f aca="0">M138+N136</x:f>
        <x:v>-1524766178.16206</x:v>
      </x:c>
      <x:c r="O138" s="97" t="n">
        <x:f aca="0">N138+O136</x:f>
        <x:v>-1449975412.51312</x:v>
      </x:c>
      <x:c r="P138" s="97" t="n">
        <x:f aca="0">O138+P136</x:f>
        <x:v>-1349891080.70958</x:v>
      </x:c>
      <x:c r="Q138" s="97" t="n">
        <x:f aca="0">P138+Q136</x:f>
        <x:v>-1223876205.83732</x:v>
      </x:c>
      <x:c r="R138" s="97" t="n">
        <x:f aca="0">Q138+R136</x:f>
        <x:v>-1071230577.06684</x:v>
      </x:c>
      <x:c r="S138" s="97" t="n">
        <x:f aca="0">R138+S136</x:f>
        <x:v>-891189157.210948</x:v>
      </x:c>
      <x:c r="T138" s="97" t="n">
        <x:f aca="0">S138+T136</x:f>
        <x:v>-682920332.197725</x:v>
      </x:c>
      <x:c r="U138" s="97" t="n">
        <x:f aca="0">T138+U136</x:f>
        <x:v>-445523998.47753</x:v>
      </x:c>
      <x:c r="V138" s="97" t="n">
        <x:f aca="0">U138+V136</x:f>
        <x:v>-178029483.987829</x:v>
      </x:c>
      <x:c r="W138" s="97" t="n">
        <x:f aca="0">V138+W136</x:f>
        <x:v>120606702.105678</x:v>
      </x:c>
      <x:c r="X138" s="97" t="n">
        <x:f aca="0">W138+X136</x:f>
        <x:v>451503296.089216</x:v>
      </x:c>
      <x:c r="Y138" s="97" t="n">
        <x:f aca="0">X138+Y136</x:f>
        <x:v>815856888.428018</x:v>
      </x:c>
      <x:c r="Z138" s="97" t="n">
        <x:f aca="0">Y138+Z136</x:f>
        <x:v>1214944720.60704</x:v>
      </x:c>
    </x:row>
    <x:row r="139" ht="15" hidden="1" customHeight="1"/>
    <x:row r="140" ht="15" hidden="1" customHeight="1">
      <x:c r="A140" s="96" t="s">
        <x:v>512</x:v>
      </x:c>
      <x:c r="C140" s="98" t="n">
        <x:f aca="0">$D$88*(1+$E$88)^0</x:f>
        <x:v>30</x:v>
      </x:c>
      <x:c r="D140" s="98" t="n">
        <x:f aca="0">$D$88*(1+$E$88)^1</x:f>
        <x:v>31.5</x:v>
      </x:c>
      <x:c r="E140" s="98" t="n">
        <x:f aca="0">$D$88*(1+$E$88)^2</x:f>
        <x:v>33.075</x:v>
      </x:c>
      <x:c r="F140" s="98" t="n">
        <x:f aca="0">$D$88*(1+$E$88)^3</x:f>
        <x:v>34.72875</x:v>
      </x:c>
      <x:c r="G140" s="98" t="n">
        <x:f aca="0">$D$88*(1+$E$88)^4</x:f>
        <x:v>36.4651875</x:v>
      </x:c>
      <x:c r="H140" s="98" t="n">
        <x:f aca="0">$D$88*(1+$E$88)^5</x:f>
        <x:v>38.288446875</x:v>
      </x:c>
      <x:c r="I140" s="98" t="n">
        <x:f aca="0">$D$88*(1+$E$88)^6</x:f>
        <x:v>40.20286921875</x:v>
      </x:c>
      <x:c r="J140" s="98" t="n">
        <x:f aca="0">$D$88*(1+$E$88)^7</x:f>
        <x:v>42.2130126796875</x:v>
      </x:c>
      <x:c r="K140" s="98" t="n">
        <x:f aca="0">$D$88*(1+$E$88)^8</x:f>
        <x:v>44.3236633136719</x:v>
      </x:c>
      <x:c r="L140" s="98" t="n">
        <x:f aca="0">$D$88*(1+$E$88)^9</x:f>
        <x:v>46.5398464793555</x:v>
      </x:c>
      <x:c r="M140" s="98" t="n">
        <x:f aca="0">$D$88*(1+$E$88)^10</x:f>
        <x:v>48.8668388033233</x:v>
      </x:c>
      <x:c r="N140" s="98" t="n">
        <x:f aca="0">$D$88*(1+$E$88)^11</x:f>
        <x:v>51.3101807434894</x:v>
      </x:c>
      <x:c r="O140" s="98" t="n">
        <x:f aca="0">$D$88*(1+$E$88)^12</x:f>
        <x:v>53.8756897806639</x:v>
      </x:c>
      <x:c r="P140" s="98" t="n">
        <x:f aca="0">$D$88*(1+$E$88)^13</x:f>
        <x:v>56.5694742696971</x:v>
      </x:c>
      <x:c r="Q140" s="98" t="n">
        <x:f aca="0">$D$88*(1+$E$88)^14</x:f>
        <x:v>59.397947983182</x:v>
      </x:c>
      <x:c r="R140" s="98" t="n">
        <x:f aca="0">$D$88*(1+$E$88)^15</x:f>
        <x:v>62.3678453823411</x:v>
      </x:c>
      <x:c r="S140" s="98" t="n">
        <x:f aca="0">$D$88*(1+$E$88)^16</x:f>
        <x:v>65.4862376514581</x:v>
      </x:c>
      <x:c r="T140" s="98" t="n">
        <x:f aca="0">$D$88*(1+$E$88)^17</x:f>
        <x:v>68.760549534031</x:v>
      </x:c>
      <x:c r="U140" s="98" t="n">
        <x:f aca="0">$D$88*(1+$E$88)^18</x:f>
        <x:v>72.1985770107326</x:v>
      </x:c>
      <x:c r="V140" s="98" t="n">
        <x:f aca="0">$D$88*(1+$E$88)^19</x:f>
        <x:v>75.8085058612692</x:v>
      </x:c>
      <x:c r="W140" s="98" t="n">
        <x:f aca="0">$D$88*(1+$E$88)^20</x:f>
        <x:v>79.5989311543327</x:v>
      </x:c>
      <x:c r="X140" s="98" t="n">
        <x:f aca="0">$D$88*(1+$E$88)^21</x:f>
        <x:v>83.5788777120493</x:v>
      </x:c>
      <x:c r="Y140" s="98" t="n">
        <x:f aca="0">$D$88*(1+$E$88)^22</x:f>
        <x:v>87.7578215976518</x:v>
      </x:c>
      <x:c r="Z140" s="98" t="n">
        <x:f aca="0">$D$88*(1+$E$88)^23</x:f>
        <x:v>92.1457126775344</x:v>
      </x:c>
    </x:row>
    <x:row r="141" ht="15" hidden="1" customHeight="1">
      <x:c r="A141" s="96" t="s">
        <x:v>513</x:v>
      </x:c>
      <x:c r="B141" s="96" t="n">
        <x:v>0</x:v>
      </x:c>
      <x:c r="C141" s="98" t="n">
        <x:f aca="0">B141*(1-$F$88)+C140</x:f>
        <x:v>30</x:v>
      </x:c>
      <x:c r="D141" s="98" t="n">
        <x:f aca="0">C141*(1-$F$88)+D140</x:f>
        <x:v>60</x:v>
      </x:c>
      <x:c r="E141" s="98" t="n">
        <x:f aca="0">D141*(1-$F$88)+E140</x:f>
        <x:v>90.075</x:v>
      </x:c>
      <x:c r="F141" s="98" t="n">
        <x:f aca="0">E141*(1-$F$88)+F140</x:f>
        <x:v>120.3</x:v>
      </x:c>
      <x:c r="G141" s="98" t="n">
        <x:f aca="0">F141*(1-$F$88)+G140</x:f>
        <x:v>150.7501875</x:v>
      </x:c>
      <x:c r="H141" s="98" t="n">
        <x:f aca="0">G141*(1-$F$88)+H140</x:f>
        <x:v>181.501125</x:v>
      </x:c>
      <x:c r="I141" s="98" t="n">
        <x:f aca="0">H141*(1-$F$88)+I140</x:f>
        <x:v>212.62893796875</x:v>
      </x:c>
      <x:c r="J141" s="98" t="n">
        <x:f aca="0">I141*(1-$F$88)+J140</x:f>
        <x:v>244.21050375</x:v>
      </x:c>
      <x:c r="K141" s="98" t="n">
        <x:f aca="0">J141*(1-$F$88)+K140</x:f>
        <x:v>276.323641876172</x:v>
      </x:c>
      <x:c r="L141" s="98" t="n">
        <x:f aca="0">K141*(1-$F$88)+L140</x:f>
        <x:v>309.047306261719</x:v>
      </x:c>
      <x:c r="M141" s="98" t="n">
        <x:f aca="0">L141*(1-$F$88)+M140</x:f>
        <x:v>342.461779751956</x:v>
      </x:c>
      <x:c r="N141" s="98" t="n">
        <x:f aca="0">M141*(1-$F$88)+N140</x:f>
        <x:v>376.648871507848</x:v>
      </x:c>
      <x:c r="O141" s="98" t="n">
        <x:f aca="0">N141*(1-$F$88)+O140</x:f>
        <x:v>411.692117713119</x:v>
      </x:c>
      <x:c r="P141" s="98" t="n">
        <x:f aca="0">O141*(1-$F$88)+P140</x:f>
        <x:v>447.67698609716</x:v>
      </x:c>
      <x:c r="Q141" s="98" t="n">
        <x:f aca="0">P141*(1-$F$88)+Q140</x:f>
        <x:v>484.691084775484</x:v>
      </x:c>
      <x:c r="R141" s="98" t="n">
        <x:f aca="0">Q141*(1-$F$88)+R140</x:f>
        <x:v>522.824375919051</x:v>
      </x:c>
      <x:c r="S141" s="98" t="n">
        <x:f aca="0">R141*(1-$F$88)+S140</x:f>
        <x:v>562.169394774557</x:v>
      </x:c>
      <x:c r="T141" s="98" t="n">
        <x:f aca="0">S141*(1-$F$88)+T140</x:f>
        <x:v>602.82147456986</x:v>
      </x:c>
      <x:c r="U141" s="98" t="n">
        <x:f aca="0">T141*(1-$F$88)+U140</x:f>
        <x:v>644.878977852099</x:v>
      </x:c>
      <x:c r="V141" s="98" t="n">
        <x:f aca="0">U141*(1-$F$88)+V140</x:f>
        <x:v>688.443534820764</x:v>
      </x:c>
      <x:c r="W141" s="98" t="n">
        <x:f aca="0">V141*(1-$F$88)+W140</x:f>
        <x:v>733.620289234058</x:v>
      </x:c>
      <x:c r="X141" s="98" t="n">
        <x:f aca="0">W141*(1-$F$88)+X140</x:f>
        <x:v>780.518152484404</x:v>
      </x:c>
      <x:c r="Y141" s="98" t="n">
        <x:f aca="0">X141*(1-$F$88)+Y140</x:f>
        <x:v>829.250066457836</x:v>
      </x:c>
      <x:c r="Z141" s="98" t="n">
        <x:f aca="0">Y141*(1-$F$88)+Z140</x:f>
        <x:v>879.933275812478</x:v>
      </x:c>
    </x:row>
    <x:row r="142" ht="15" hidden="1" customHeight="1">
      <x:c r="A142" s="96" t="s">
        <x:v>514</x:v>
      </x:c>
      <x:c r="B142" s="97" t="n">
        <x:f aca="0">-$I$88</x:f>
        <x:v>-600000000</x:v>
      </x:c>
      <x:c r="C142" s="97" t="n">
        <x:f aca="0">C141*($B$88-$C$88)-C140*$G$88-$H$88</x:f>
        <x:v>-183748944</x:v>
      </x:c>
      <x:c r="D142" s="97" t="n">
        <x:f aca="0">D141*($B$88-$C$88)-D140*$G$88-$H$88</x:f>
        <x:v>-174747888</x:v>
      </x:c>
      <x:c r="E142" s="97" t="n">
        <x:f aca="0">E141*($B$88-$C$88)-E140*$G$88-$H$88</x:f>
        <x:v>-165831204.36</x:v>
      </x:c>
      <x:c r="F142" s="97" t="n">
        <x:f aca="0">F141*($B$88-$C$88)-F140*$G$88-$H$88</x:f>
        <x:v>-156976390.44</x:v>
      </x:c>
      <x:c r="G142" s="97" t="n">
        <x:f aca="0">G141*($B$88-$C$88)-G140*$G$88-$H$88</x:f>
        <x:v>-148161154.5309</x:v>
      </x:c>
      <x:c r="H142" s="97" t="n">
        <x:f aca="0">H141*($B$88-$C$88)-H140*$G$88-$H$88</x:f>
        <x:v>-139363359.5979</x:v>
      </x:c>
      <x:c r="I142" s="97" t="n">
        <x:f aca="0">I141*($B$88-$C$88)-I140*$G$88-$H$88</x:f>
        <x:v>-130560967.551227</x:v>
      </x:c>
      <x:c r="J142" s="97" t="n">
        <x:f aca="0">J141*($B$88-$C$88)-J140*$G$88-$H$88</x:f>
        <x:v>-121731983.903549</x:v>
      </x:c>
      <x:c r="K142" s="97" t="n">
        <x:f aca="0">K141*($B$88-$C$88)-K140*$G$88-$H$88</x:f>
        <x:v>-112854402.674749</x:v>
      </x:c>
      <x:c r="L142" s="97" t="n">
        <x:f aca="0">L141*($B$88-$C$88)-L140*$G$88-$H$88</x:f>
        <x:v>-103906151.405708</x:v>
      </x:c>
      <x:c r="M142" s="97" t="n">
        <x:f aca="0">M141*($B$88-$C$88)-M140*$G$88-$H$88</x:f>
        <x:v>-94865036.1433541</x:v>
      </x:c>
      <x:c r="N142" s="97" t="n">
        <x:f aca="0">N141*($B$88-$C$88)-N140*$G$88-$H$88</x:f>
        <x:v>-85708686.2595142</x:v>
      </x:c>
      <x:c r="O142" s="97" t="n">
        <x:f aca="0">O141*($B$88-$C$88)-O140*$G$88-$H$88</x:f>
        <x:v>-76414498.9660327</x:v>
      </x:c>
      <x:c r="P142" s="97" t="n">
        <x:f aca="0">P141*($B$88-$C$88)-P140*$G$88-$H$88</x:f>
        <x:v>-66959583.3881999</x:v>
      </x:c>
      <x:c r="Q142" s="97" t="n">
        <x:f aca="0">Q141*($B$88-$C$88)-Q140*$G$88-$H$88</x:f>
        <x:v>-57320704.0577823</x:v>
      </x:c>
      <x:c r="R142" s="97" t="n">
        <x:f aca="0">R141*($B$88-$C$88)-R140*$G$88-$H$88</x:f>
        <x:v>-47474223.6858351</x:v>
      </x:c>
      <x:c r="S142" s="97" t="n">
        <x:f aca="0">S141*($B$88-$C$88)-S140*$G$88-$H$88</x:f>
        <x:v>-37396045.0740324</x:v>
      </x:c>
      <x:c r="T142" s="97" t="n">
        <x:f aca="0">T141*($B$88-$C$88)-T140*$G$88-$H$88</x:f>
        <x:v>-27061552.0214442</x:v>
      </x:c>
      <x:c r="U142" s="97" t="n">
        <x:f aca="0">U141*($B$88-$C$88)-U140*$G$88-$H$88</x:f>
        <x:v>-16445549.0815412</x:v>
      </x:c>
      <x:c r="V142" s="97" t="n">
        <x:f aca="0">V141*($B$88-$C$88)-V140*$G$88-$H$88</x:f>
        <x:v>-5522200.02169177</x:v>
      </x:c>
      <x:c r="W142" s="97" t="n">
        <x:f aca="0">W141*($B$88-$C$88)-W140*$G$88-$H$88</x:f>
        <x:v>5735035.16545382</x:v>
      </x:c>
      <x:c r="X142" s="97" t="n">
        <x:f aca="0">X141*($B$88-$C$88)-X140*$G$88-$H$88</x:f>
        <x:v>17353464.8525451</x:v>
      </x:c>
      <x:c r="Y142" s="97" t="n">
        <x:f aca="0">Y141*($B$88-$C$88)-Y140*$G$88-$H$88</x:f>
        <x:v>29361232.1275501</x:v>
      </x:c>
      <x:c r="Z142" s="97" t="n">
        <x:f aca="0">Z141*($B$88-$C$88)-Z140*$G$88-$H$88</x:f>
        <x:v>41787383.0646864</x:v>
      </x:c>
    </x:row>
    <x:row r="143" ht="15" hidden="1" customHeight="1">
      <x:c r="A143" s="96" t="s">
        <x:v>515</x:v>
      </x:c>
      <x:c r="B143" s="97" t="n">
        <x:f aca="0">$J$88+B142</x:f>
        <x:v>1400000000</x:v>
      </x:c>
      <x:c r="C143" s="97" t="n">
        <x:f aca="0">B143+C142</x:f>
        <x:v>1216251056</x:v>
      </x:c>
      <x:c r="D143" s="97" t="n">
        <x:f aca="0">C143+D142</x:f>
        <x:v>1041503168</x:v>
      </x:c>
      <x:c r="E143" s="97" t="n">
        <x:f aca="0">D143+E142</x:f>
        <x:v>875671963.64</x:v>
      </x:c>
      <x:c r="F143" s="97" t="n">
        <x:f aca="0">E143+F142</x:f>
        <x:v>718695573.2</x:v>
      </x:c>
      <x:c r="G143" s="97" t="n">
        <x:f aca="0">F143+G142</x:f>
        <x:v>570534418.6691</x:v>
      </x:c>
      <x:c r="H143" s="97" t="n">
        <x:f aca="0">G143+H142</x:f>
        <x:v>431171059.0712</x:v>
      </x:c>
      <x:c r="I143" s="97" t="n">
        <x:f aca="0">H143+I142</x:f>
        <x:v>300610091.519973</x:v>
      </x:c>
      <x:c r="J143" s="97" t="n">
        <x:f aca="0">I143+J142</x:f>
        <x:v>178878107.616424</x:v>
      </x:c>
      <x:c r="K143" s="97" t="n">
        <x:f aca="0">J143+K142</x:f>
        <x:v>66023704.9416742</x:v>
      </x:c>
      <x:c r="L143" s="97" t="n">
        <x:f aca="0">K143+L142</x:f>
        <x:v>-37882446.4640341</x:v>
      </x:c>
      <x:c r="M143" s="97" t="n">
        <x:f aca="0">L143+M142</x:f>
        <x:v>-132747482.607388</x:v>
      </x:c>
      <x:c r="N143" s="97" t="n">
        <x:f aca="0">M143+N142</x:f>
        <x:v>-218456168.866902</x:v>
      </x:c>
      <x:c r="O143" s="97" t="n">
        <x:f aca="0">N143+O142</x:f>
        <x:v>-294870667.832935</x:v>
      </x:c>
      <x:c r="P143" s="97" t="n">
        <x:f aca="0">O143+P142</x:f>
        <x:v>-361830251.221135</x:v>
      </x:c>
      <x:c r="Q143" s="97" t="n">
        <x:f aca="0">P143+Q142</x:f>
        <x:v>-419150955.278917</x:v>
      </x:c>
      <x:c r="R143" s="97" t="n">
        <x:f aca="0">Q143+R142</x:f>
        <x:v>-466625178.964752</x:v>
      </x:c>
      <x:c r="S143" s="97" t="n">
        <x:f aca="0">R143+S142</x:f>
        <x:v>-504021224.038785</x:v>
      </x:c>
      <x:c r="T143" s="97" t="n">
        <x:f aca="0">S143+T142</x:f>
        <x:v>-531082776.060229</x:v>
      </x:c>
      <x:c r="U143" s="97" t="n">
        <x:f aca="0">T143+U142</x:f>
        <x:v>-547528325.14177</x:v>
      </x:c>
      <x:c r="V143" s="97" t="n">
        <x:f aca="0">U143+V142</x:f>
        <x:v>-553050525.163462</x:v>
      </x:c>
      <x:c r="W143" s="97" t="n">
        <x:f aca="0">V143+W142</x:f>
        <x:v>-547315489.998008</x:v>
      </x:c>
      <x:c r="X143" s="97" t="n">
        <x:f aca="0">W143+X142</x:f>
        <x:v>-529962025.145463</x:v>
      </x:c>
      <x:c r="Y143" s="97" t="n">
        <x:f aca="0">X143+Y142</x:f>
        <x:v>-500600793.017913</x:v>
      </x:c>
      <x:c r="Z143" s="97" t="n">
        <x:f aca="0">Y143+Z142</x:f>
        <x:v>-458813409.953226</x:v>
      </x:c>
    </x:row>
    <x:row r="144" ht="15" hidden="1" customHeight="1">
      <x:c r="A144" s="96" t="s">
        <x:v>516</x:v>
      </x:c>
      <x:c r="B144" s="97" t="n">
        <x:f aca="0">B142</x:f>
        <x:v>-600000000</x:v>
      </x:c>
      <x:c r="C144" s="97" t="n">
        <x:f aca="0">B144+C142</x:f>
        <x:v>-783748944</x:v>
      </x:c>
      <x:c r="D144" s="97" t="n">
        <x:f aca="0">C144+D142</x:f>
        <x:v>-958496832</x:v>
      </x:c>
      <x:c r="E144" s="97" t="n">
        <x:f aca="0">D144+E142</x:f>
        <x:v>-1124328036.36</x:v>
      </x:c>
      <x:c r="F144" s="97" t="n">
        <x:f aca="0">E144+F142</x:f>
        <x:v>-1281304426.8</x:v>
      </x:c>
      <x:c r="G144" s="97" t="n">
        <x:f aca="0">F144+G142</x:f>
        <x:v>-1429465581.3309</x:v>
      </x:c>
      <x:c r="H144" s="97" t="n">
        <x:f aca="0">G144+H142</x:f>
        <x:v>-1568828940.9288</x:v>
      </x:c>
      <x:c r="I144" s="97" t="n">
        <x:f aca="0">H144+I142</x:f>
        <x:v>-1699389908.48003</x:v>
      </x:c>
      <x:c r="J144" s="97" t="n">
        <x:f aca="0">I144+J142</x:f>
        <x:v>-1821121892.38358</x:v>
      </x:c>
      <x:c r="K144" s="97" t="n">
        <x:f aca="0">J144+K142</x:f>
        <x:v>-1933976295.05833</x:v>
      </x:c>
      <x:c r="L144" s="97" t="n">
        <x:f aca="0">K144+L142</x:f>
        <x:v>-2037882446.46403</x:v>
      </x:c>
      <x:c r="M144" s="97" t="n">
        <x:f aca="0">L144+M142</x:f>
        <x:v>-2132747482.60739</x:v>
      </x:c>
      <x:c r="N144" s="97" t="n">
        <x:f aca="0">M144+N142</x:f>
        <x:v>-2218456168.8669</x:v>
      </x:c>
      <x:c r="O144" s="97" t="n">
        <x:f aca="0">N144+O142</x:f>
        <x:v>-2294870667.83294</x:v>
      </x:c>
      <x:c r="P144" s="97" t="n">
        <x:f aca="0">O144+P142</x:f>
        <x:v>-2361830251.22114</x:v>
      </x:c>
      <x:c r="Q144" s="97" t="n">
        <x:f aca="0">P144+Q142</x:f>
        <x:v>-2419150955.27892</x:v>
      </x:c>
      <x:c r="R144" s="97" t="n">
        <x:f aca="0">Q144+R142</x:f>
        <x:v>-2466625178.96475</x:v>
      </x:c>
      <x:c r="S144" s="97" t="n">
        <x:f aca="0">R144+S142</x:f>
        <x:v>-2504021224.03878</x:v>
      </x:c>
      <x:c r="T144" s="97" t="n">
        <x:f aca="0">S144+T142</x:f>
        <x:v>-2531082776.06023</x:v>
      </x:c>
      <x:c r="U144" s="97" t="n">
        <x:f aca="0">T144+U142</x:f>
        <x:v>-2547528325.14177</x:v>
      </x:c>
      <x:c r="V144" s="97" t="n">
        <x:f aca="0">U144+V142</x:f>
        <x:v>-2553050525.16346</x:v>
      </x:c>
      <x:c r="W144" s="97" t="n">
        <x:f aca="0">V144+W142</x:f>
        <x:v>-2547315489.99801</x:v>
      </x:c>
      <x:c r="X144" s="97" t="n">
        <x:f aca="0">W144+X142</x:f>
        <x:v>-2529962025.14546</x:v>
      </x:c>
      <x:c r="Y144" s="97" t="n">
        <x:f aca="0">X144+Y142</x:f>
        <x:v>-2500600793.01791</x:v>
      </x:c>
      <x:c r="Z144" s="97" t="n">
        <x:f aca="0">Y144+Z142</x:f>
        <x:v>-2458813409.95323</x:v>
      </x:c>
    </x:row>
    <x:row r="145" ht="15" hidden="1" customHeight="1"/>
  </x:sheetData>
  <x:mergeCells>
    <x:mergeCell ref="E71:H71"/>
    <x:mergeCell ref="E72:H72"/>
    <x:mergeCell ref="E73:H73"/>
    <x:mergeCell ref="E74:H74"/>
    <x:mergeCell ref="E75:H75"/>
    <x:mergeCell ref="E76:H76"/>
    <x:mergeCell ref="E77:H77"/>
  </x:mergeCells>
  <x:conditionalFormatting sqref="A58:H64">
    <x:cfRule type="expression" dxfId="0" priority="2" aboveAverage="0" percent="0" bottom="0" rank="0" equalAverage="0">
      <x:formula>$H58=1</x:formula>
    </x:cfRule>
  </x:conditionalFormatting>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ColWidth="8.6796875" defaultRowHeight="15"/>
  <x:cols>
    <x:col min="1" max="1" width="48" style="1" hidden="0" customWidth="1"/>
    <x:col min="2" max="4" width="18" style="1" hidden="0" customWidth="1"/>
    <x:col min="5" max="5" width="15" style="1" hidden="0" customWidth="1"/>
    <x:col min="6" max="6" width="40" style="1" hidden="0" customWidth="1"/>
    <x:col min="7" max="7" width="52" style="1" hidden="0" customWidth="1"/>
  </x:cols>
  <x:sheetData>
    <x:row r="1" ht="17.25" hidden="0" customHeight="1">
      <x:c r="A1" s="2" t="s">
        <x:v>517</x:v>
      </x:c>
    </x:row>
    <x:row r="2" ht="15" hidden="0" customHeight="1">
      <x:c r="A2" s="9" t="s">
        <x:v>518</x:v>
      </x:c>
    </x:row>
    <x:row r="3" ht="15" hidden="0" customHeight="1">
      <x:c r="A3" s="100" t="s">
        <x:v>519</x:v>
      </x:c>
    </x:row>
    <x:row r="4" ht="15" hidden="0" customHeight="1">
      <x:c r="A4" s="15" t="s">
        <x:v>303</x:v>
      </x:c>
      <x:c r="B4" s="15" t="s">
        <x:v>304</x:v>
      </x:c>
      <x:c r="C4" s="15" t="s">
        <x:v>305</x:v>
      </x:c>
      <x:c r="D4" s="15" t="s">
        <x:v>306</x:v>
      </x:c>
      <x:c r="E4" s="15" t="s">
        <x:v>163</x:v>
      </x:c>
      <x:c r="F4" s="15" t="s">
        <x:v>164</x:v>
      </x:c>
      <x:c r="G4" s="15" t="s">
        <x:v>307</x:v>
      </x:c>
    </x:row>
    <x:row r="5" ht="15.75" hidden="0" customHeight="1">
      <x:c r="A5" s="39" t="s">
        <x:v>520</x:v>
      </x:c>
      <x:c r="B5" s="101" t="n">
        <x:v>30</x:v>
      </x:c>
      <x:c r="C5" s="101" t="n">
        <x:v>30</x:v>
      </x:c>
      <x:c r="D5" s="101" t="n">
        <x:v>30</x:v>
      </x:c>
      <x:c r="E5" s="41" t="s">
        <x:v>521</x:v>
      </x:c>
      <x:c r="F5" s="71" t="s">
        <x:v>522</x:v>
      </x:c>
      <x:c r="G5" s="43" t="s">
        <x:v>523</x:v>
      </x:c>
    </x:row>
    <x:row r="6" ht="31.5" hidden="0" customHeight="1">
      <x:c r="A6" s="66" t="s">
        <x:v>524</x:v>
      </x:c>
      <x:c r="B6" s="101" t="n">
        <x:v>5</x:v>
      </x:c>
      <x:c r="C6" s="101" t="n">
        <x:v>3</x:v>
      </x:c>
      <x:c r="D6" s="101" t="n">
        <x:v>1.5</x:v>
      </x:c>
      <x:c r="E6" s="41" t="s">
        <x:v>525</x:v>
      </x:c>
      <x:c r="F6" s="71" t="s">
        <x:v>526</x:v>
      </x:c>
      <x:c r="G6" s="43" t="s">
        <x:v>527</x:v>
      </x:c>
    </x:row>
    <x:row r="7" ht="30" hidden="0" customHeight="1">
      <x:c r="A7" s="39" t="s">
        <x:v>528</x:v>
      </x:c>
      <x:c r="B7" s="45" t="n">
        <x:v>0.8</x:v>
      </x:c>
      <x:c r="C7" s="45" t="n">
        <x:v>0.6</x:v>
      </x:c>
      <x:c r="D7" s="45" t="n">
        <x:v>0.35</x:v>
      </x:c>
      <x:c r="E7" s="41" t="s">
        <x:v>192</x:v>
      </x:c>
      <x:c r="F7" s="71" t="s">
        <x:v>529</x:v>
      </x:c>
      <x:c r="G7" s="43" t="s">
        <x:v>530</x:v>
      </x:c>
    </x:row>
    <x:row r="8" ht="15.75" hidden="0" customHeight="1">
      <x:c r="A8" s="39" t="s">
        <x:v>531</x:v>
      </x:c>
      <x:c r="B8" s="70" t="n">
        <x:v>120000</x:v>
      </x:c>
      <x:c r="C8" s="70" t="n">
        <x:v>120000</x:v>
      </x:c>
      <x:c r="D8" s="70" t="n">
        <x:v>120000</x:v>
      </x:c>
      <x:c r="E8" s="41" t="s">
        <x:v>207</x:v>
      </x:c>
      <x:c r="F8" s="71" t="s">
        <x:v>532</x:v>
      </x:c>
      <x:c r="G8" s="43" t="s">
        <x:v>533</x:v>
      </x:c>
    </x:row>
    <x:row r="9" ht="15.75" hidden="0" customHeight="1">
      <x:c r="A9" s="39" t="s">
        <x:v>534</x:v>
      </x:c>
      <x:c r="B9" s="70" t="n">
        <x:v>10000000</x:v>
      </x:c>
      <x:c r="C9" s="70" t="n">
        <x:v>5000000</x:v>
      </x:c>
      <x:c r="D9" s="70" t="n">
        <x:v>0</x:v>
      </x:c>
      <x:c r="E9" s="41" t="s">
        <x:v>253</x:v>
      </x:c>
      <x:c r="F9" s="71" t="s">
        <x:v>535</x:v>
      </x:c>
      <x:c r="G9" s="43" t="s">
        <x:v>536</x:v>
      </x:c>
    </x:row>
    <x:row r="10" ht="15.75" hidden="0" customHeight="1">
      <x:c r="A10" s="39" t="s">
        <x:v>537</x:v>
      </x:c>
      <x:c r="B10" s="70" t="n">
        <x:v>400000000</x:v>
      </x:c>
      <x:c r="C10" s="70" t="n">
        <x:v>400000000</x:v>
      </x:c>
      <x:c r="D10" s="70" t="n">
        <x:v>500000000</x:v>
      </x:c>
      <x:c r="E10" s="41" t="s">
        <x:v>538</x:v>
      </x:c>
      <x:c r="F10" s="71" t="s">
        <x:v>539</x:v>
      </x:c>
      <x:c r="G10" s="43" t="s">
        <x:v>540</x:v>
      </x:c>
    </x:row>
    <x:row r="11" ht="15.75" hidden="0" customHeight="1">
      <x:c r="A11" s="39" t="s">
        <x:v>541</x:v>
      </x:c>
      <x:c r="B11" s="70" t="n">
        <x:v>50000000</x:v>
      </x:c>
      <x:c r="C11" s="70" t="n">
        <x:v>60000000</x:v>
      </x:c>
      <x:c r="D11" s="70" t="n">
        <x:v>80000000</x:v>
      </x:c>
      <x:c r="E11" s="41" t="s">
        <x:v>538</x:v>
      </x:c>
      <x:c r="F11" s="71" t="s">
        <x:v>542</x:v>
      </x:c>
      <x:c r="G11" s="43" t="s">
        <x:v>543</x:v>
      </x:c>
    </x:row>
    <x:row r="12" ht="15.75" hidden="0" customHeight="1">
      <x:c r="A12" s="39" t="s">
        <x:v>544</x:v>
      </x:c>
      <x:c r="B12" s="70" t="n">
        <x:v>15000000</x:v>
      </x:c>
      <x:c r="C12" s="70" t="n">
        <x:v>18000000</x:v>
      </x:c>
      <x:c r="D12" s="70" t="n">
        <x:v>25000000</x:v>
      </x:c>
      <x:c r="E12" s="41" t="s">
        <x:v>253</x:v>
      </x:c>
      <x:c r="F12" s="71" t="s">
        <x:v>545</x:v>
      </x:c>
      <x:c r="G12" s="43" t="s">
        <x:v>546</x:v>
      </x:c>
    </x:row>
    <x:row r="13" ht="15" hidden="0" customHeight="1">
      <x:c r="A13" s="39" t="s">
        <x:v>338</x:v>
      </x:c>
      <x:c r="B13" s="45" t="n">
        <x:v>0.15</x:v>
      </x:c>
      <x:c r="C13" s="45" t="n">
        <x:v>0.15</x:v>
      </x:c>
      <x:c r="D13" s="45" t="n">
        <x:v>0.15</x:v>
      </x:c>
      <x:c r="E13" s="41" t="s">
        <x:v>192</x:v>
      </x:c>
      <x:c r="F13" s="71" t="s">
        <x:v>547</x:v>
      </x:c>
      <x:c r="G13" s="41"/>
    </x:row>
    <x:row r="15" ht="26.25" hidden="0" customHeight="1">
      <x:c r="A15" s="15" t="s">
        <x:v>548</x:v>
      </x:c>
      <x:c r="B15" s="15" t="s">
        <x:v>304</x:v>
      </x:c>
      <x:c r="C15" s="15" t="s">
        <x:v>305</x:v>
      </x:c>
      <x:c r="D15" s="15" t="s">
        <x:v>306</x:v>
      </x:c>
      <x:c r="E15" s="15" t="s">
        <x:v>351</x:v>
      </x:c>
    </x:row>
    <x:row r="16" ht="15" hidden="0" customHeight="1">
      <x:c r="A16" s="46" t="s">
        <x:v>549</x:v>
      </x:c>
      <x:c r="B16" s="47" t="n">
        <x:f aca="0">B5*B6*52/12*B7*B8+B9</x:f>
        <x:v>72400000</x:v>
      </x:c>
      <x:c r="C16" s="47" t="n">
        <x:f aca="0">C5*C6*52/12*C7*C8+C9</x:f>
        <x:v>33080000</x:v>
      </x:c>
      <x:c r="D16" s="47" t="n">
        <x:f aca="0">D5*D6*52/12*D7*D8+D9</x:f>
        <x:v>8190000</x:v>
      </x:c>
    </x:row>
    <x:row r="17" ht="15" hidden="0" customHeight="1">
      <x:c r="A17" s="46" t="s">
        <x:v>550</x:v>
      </x:c>
      <x:c r="B17" s="47" t="n">
        <x:f aca="0">B16-B12</x:f>
        <x:v>57400000</x:v>
      </x:c>
      <x:c r="C17" s="47" t="n">
        <x:f aca="0">C16-C12</x:f>
        <x:v>15080000</x:v>
      </x:c>
      <x:c r="D17" s="47" t="n">
        <x:f aca="0">D16-D12</x:f>
        <x:v>-16810000</x:v>
      </x:c>
      <x:c r="E17" s="1" t="s">
        <x:v>403</x:v>
      </x:c>
    </x:row>
    <x:row r="18" ht="15" hidden="0" customHeight="1">
      <x:c r="A18" s="46" t="s">
        <x:v>551</x:v>
      </x:c>
      <x:c r="B18" s="47" t="n">
        <x:f aca="0">B10+B11</x:f>
        <x:v>450000000</x:v>
      </x:c>
      <x:c r="C18" s="47" t="n">
        <x:f aca="0">C10+C11</x:f>
        <x:v>460000000</x:v>
      </x:c>
      <x:c r="D18" s="47" t="n">
        <x:f aca="0">D10+D11</x:f>
        <x:v>580000000</x:v>
      </x:c>
    </x:row>
    <x:row r="19" ht="15" hidden="0" customHeight="1">
      <x:c r="A19" s="46" t="s">
        <x:v>552</x:v>
      </x:c>
      <x:c r="B19" s="102" t="n">
        <x:f aca="0">IF(B5=0,"Chưa điền",IF(B17&gt;0,B18/B17,"Không hoàn vốn"))</x:f>
        <x:v>7.8397212543554</x:v>
      </x:c>
      <x:c r="C19" s="102" t="n">
        <x:f aca="0">IF(C5=0,"Chưa điền",IF(C17&gt;0,C18/C17,"Không hoàn vốn"))</x:f>
        <x:v>30.5039787798409</x:v>
      </x:c>
      <x:c r="D19" s="102" t="str">
        <x:f aca="0">IF(D5=0,"Chưa điền",IF(D17&gt;0,D18/D17,"Không hoàn vốn"))</x:f>
        <x:v>Không hoàn vốn</x:v>
      </x:c>
      <x:c r="E19" s="1" t="s">
        <x:v>360</x:v>
      </x:c>
    </x:row>
    <x:row r="20" ht="15" hidden="0" customHeight="1">
      <x:c r="A20" s="46" t="s">
        <x:v>553</x:v>
      </x:c>
      <x:c r="B20" s="50" t="n">
        <x:f aca="0">IFERROR((12*B17-B18)/B18,0)</x:f>
        <x:v>0.530666666666667</x:v>
      </x:c>
      <x:c r="C20" s="50" t="n">
        <x:f aca="0">IFERROR((12*C17-C18)/C18,0)</x:f>
        <x:v>-0.606608695652174</x:v>
      </x:c>
      <x:c r="D20" s="50" t="n">
        <x:f aca="0">IFERROR((12*D17-D18)/D18,0)</x:f>
        <x:v>-1.34779310344828</x:v>
      </x:c>
      <x:c r="E20" s="1" t="s">
        <x:v>403</x:v>
      </x:c>
    </x:row>
    <x:row r="21" ht="15" hidden="0" customHeight="1">
      <x:c r="A21" s="46" t="s">
        <x:v>554</x:v>
      </x:c>
      <x:c r="B21" s="48" t="n">
        <x:f aca="0">PV(B13/12,24,-B17)-B18</x:f>
        <x:v>733831060.963789</x:v>
      </x:c>
      <x:c r="C21" s="48" t="n">
        <x:f aca="0">PV(C13/12,24,-C17)-C18</x:f>
        <x:v>-148986543.565611</x:v>
      </x:c>
      <x:c r="D21" s="48" t="n">
        <x:f aca="0">PV(D13/12,24,-D17)-D18</x:f>
        <x:v>-926693382.139395</x:v>
      </x:c>
      <x:c r="E21" s="1" t="s">
        <x:v>403</x:v>
      </x:c>
    </x:row>
    <x:row r="22" ht="15" hidden="0" customHeight="1">
      <x:c r="A22" s="46" t="s">
        <x:v>555</x:v>
      </x:c>
      <x:c r="B22" s="74" t="str">
        <x:f aca="0">IF(B5=0,"Chưa điền",IF(NOT(ISNUMBER(B19)),"Dừng",IF(B19&lt;12,"Làm","Thử nghiệm nhỏ")))</x:f>
        <x:v>Làm</x:v>
      </x:c>
      <x:c r="C22" s="74" t="str">
        <x:f aca="0">IF(C5=0,"Chưa điền",IF(NOT(ISNUMBER(C19)),"Dừng",IF(C19&lt;12,"Làm","Thử nghiệm nhỏ")))</x:f>
        <x:v>Thử nghiệm nhỏ</x:v>
      </x:c>
      <x:c r="D22" s="74" t="str">
        <x:f aca="0">IF(D5=0,"Chưa điền",IF(NOT(ISNUMBER(D19)),"Dừng",IF(D19&lt;12,"Làm","Thử nghiệm nhỏ")))</x:f>
        <x:v>Dừng</x:v>
      </x:c>
      <x:c r="E22" s="51" t="s">
        <x:v>556</x:v>
      </x:c>
    </x:row>
  </x:sheetData>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8.6796875" defaultRowHeight="15"/>
  <x:cols>
    <x:col min="1" max="1" width="60" style="1" hidden="0" customWidth="1"/>
    <x:col min="2" max="2" width="24" style="1" hidden="0" customWidth="1"/>
    <x:col min="3" max="3" width="26" style="1" hidden="0" customWidth="1"/>
  </x:cols>
  <x:sheetData>
    <x:row r="1" ht="17.25" hidden="0" customHeight="1">
      <x:c r="A1" s="2" t="s">
        <x:v>557</x:v>
      </x:c>
    </x:row>
    <x:row r="2" ht="31.5" hidden="0" customHeight="1">
      <x:c r="A2" s="103" t="s">
        <x:v>558</x:v>
      </x:c>
      <x:c r="B2" s="103"/>
      <x:c r="C2" s="103"/>
    </x:row>
    <x:row r="4" ht="15" hidden="0" customHeight="1">
      <x:c r="A4" s="15" t="s">
        <x:v>559</x:v>
      </x:c>
      <x:c r="B4" s="15" t="s">
        <x:v>560</x:v>
      </x:c>
      <x:c r="C4" s="15" t="s">
        <x:v>561</x:v>
      </x:c>
    </x:row>
    <x:row r="5" ht="15" hidden="0" customHeight="1">
      <x:c r="A5" s="46" t="s">
        <x:v>562</x:v>
      </x:c>
      <x:c r="B5" s="50" t="n">
        <x:f aca="0">'1_Chi phí mỗi việc'!B25</x:f>
        <x:v>4.64379370629371</x:v>
      </x:c>
      <x:c r="C5" s="61" t="str">
        <x:f aca="0">IF(B5&gt;=0.3,"Đạt","Xem lại")</x:f>
        <x:v>Đạt</x:v>
      </x:c>
    </x:row>
    <x:row r="6" ht="15" hidden="0" customHeight="1">
      <x:c r="A6" s="46" t="s">
        <x:v>563</x:v>
      </x:c>
      <x:c r="B6" s="50" t="n">
        <x:f aca="0">'4_Chỉ số mỗi khách'!C7</x:f>
        <x:v>0.736721843651152</x:v>
      </x:c>
      <x:c r="C6" s="61" t="str">
        <x:f aca="0">IF(B6&gt;=0.6,"Đạt","Xem lại")</x:f>
        <x:v>Đạt</x:v>
      </x:c>
    </x:row>
    <x:row r="7" ht="15" hidden="0" customHeight="1">
      <x:c r="A7" s="46" t="s">
        <x:v>564</x:v>
      </x:c>
      <x:c r="B7" s="104" t="n">
        <x:f aca="0">'4_Chỉ số mỗi khách'!C11</x:f>
        <x:v>10.8691029333333</x:v>
      </x:c>
      <x:c r="C7" s="61" t="str">
        <x:f aca="0">IF(B7&gt;3,"Đạt","Xem lại")</x:f>
        <x:v>Đạt</x:v>
      </x:c>
    </x:row>
    <x:row r="8" ht="15" hidden="0" customHeight="1">
      <x:c r="A8" s="46" t="s">
        <x:v>565</x:v>
      </x:c>
      <x:c r="B8" s="72" t="n">
        <x:f aca="0">'4_Chỉ số mỗi khách'!C12</x:f>
        <x:v>1.84007825877369</x:v>
      </x:c>
      <x:c r="C8" s="61" t="str">
        <x:f aca="0">IF(AND(B8&gt;0,B8&lt;12),"Đạt","Xem lại")</x:f>
        <x:v>Đạt</x:v>
      </x:c>
    </x:row>
    <x:row r="9" ht="15" hidden="0" customHeight="1">
      <x:c r="A9" s="46" t="s">
        <x:v>566</x:v>
      </x:c>
      <x:c r="B9" s="61" t="str">
        <x:f aca="0">IF(AND('3_Giả định'!C9&gt;0,'3_Giả định'!C10&gt;0,'3_Giả định'!D9&gt;=1.5*'3_Giả định'!C9,'3_Giả định'!D10&gt;=1.5*'3_Giả định'!C10),"Có","Không")</x:f>
        <x:v>Có</x:v>
      </x:c>
      <x:c r="C9" s="61" t="str">
        <x:f aca="0">IF(B9="Có","Đạt","Xem lại")</x:f>
        <x:v>Đạt</x:v>
      </x:c>
    </x:row>
    <x:row r="10" ht="15" hidden="0" customHeight="1">
      <x:c r="A10" s="46" t="s">
        <x:v>567</x:v>
      </x:c>
      <x:c r="B10" s="79" t="n">
        <x:f aca="0">'5_Dòng tiền &amp; hiệu quả'!D47</x:f>
        <x:v>10</x:v>
      </x:c>
      <x:c r="C10" s="61" t="str">
        <x:f aca="0">IF(B10="Chưa điền","Chưa điền",IF(ISNUMBER(B10),IF(B10&gt;=12,"Đạt","Cần kế hoạch cắt giảm"),"Đạt"))</x:f>
        <x:v>Cần kế hoạch cắt giảm</x:v>
      </x:c>
    </x:row>
    <x:row r="11" ht="15" hidden="0" customHeight="1">
      <x:c r="A11" s="46" t="s">
        <x:v>568</x:v>
      </x:c>
      <x:c r="B11" s="47" t="n">
        <x:f aca="0">'5_Dòng tiền &amp; hiệu quả'!C44</x:f>
        <x:v>1265447717.0087</x:v>
      </x:c>
      <x:c r="C11" s="61" t="str">
        <x:f aca="0">IF(B11&gt;0,"Đạt","Xem lại")</x:f>
        <x:v>Đạt</x:v>
      </x:c>
    </x:row>
    <x:row r="12" ht="15" hidden="0" customHeight="1">
      <x:c r="A12" s="46" t="s">
        <x:v>569</x:v>
      </x:c>
      <x:c r="B12" s="61" t="str">
        <x:f aca="0">'5_Dòng tiền &amp; hiệu quả'!B66</x:f>
        <x:v>Doanh thu bình quân giảm</x:v>
      </x:c>
      <x:c r="C12" s="61" t="str">
        <x:f aca="0">IF(B12="Chưa đủ số liệu","Xem lại","Ghi vào câu 3")</x:f>
        <x:v>Ghi vào câu 3</x:v>
      </x:c>
    </x:row>
    <x:row r="13" ht="16.5" hidden="0" customHeight="1">
      <x:c r="A13" s="105" t="s">
        <x:v>570</x:v>
      </x:c>
      <x:c r="B13" s="105"/>
      <x:c r="C13" s="105"/>
    </x:row>
    <x:row r="14" ht="48.75" hidden="0" customHeight="1">
      <x:c r="A14" s="21" t="s">
        <x:v>571</x:v>
      </x:c>
      <x:c r="B14" s="21"/>
      <x:c r="C14" s="21"/>
    </x:row>
    <x:row r="15" ht="48" hidden="0" customHeight="1">
      <x:c r="A15" s="106" t="s">
        <x:v>572</x:v>
      </x:c>
      <x:c r="B15" s="106"/>
      <x:c r="C15" s="106"/>
    </x:row>
    <x:row r="17" ht="18.75" hidden="0" customHeight="1">
      <x:c r="A17" s="21" t="s">
        <x:v>573</x:v>
      </x:c>
      <x:c r="B17" s="21"/>
      <x:c r="C17" s="21"/>
    </x:row>
    <x:row r="18" ht="48" hidden="0" customHeight="1">
      <x:c r="A18" s="106" t="s">
        <x:v>574</x:v>
      </x:c>
      <x:c r="B18" s="106"/>
      <x:c r="C18" s="106"/>
    </x:row>
    <x:row r="20" ht="18.75" hidden="0" customHeight="1">
      <x:c r="A20" s="21" t="s">
        <x:v>575</x:v>
      </x:c>
      <x:c r="B20" s="21"/>
      <x:c r="C20" s="21"/>
    </x:row>
    <x:row r="21" ht="48" hidden="0" customHeight="1">
      <x:c r="A21" s="106" t="s">
        <x:v>576</x:v>
      </x:c>
      <x:c r="B21" s="106"/>
      <x:c r="C21" s="106"/>
    </x:row>
    <x:row r="23" ht="63.75" hidden="0" customHeight="1">
      <x:c r="A23" s="21" t="s">
        <x:v>577</x:v>
      </x:c>
      <x:c r="B23" s="21"/>
      <x:c r="C23" s="21"/>
    </x:row>
    <x:row r="24" ht="48" hidden="0" customHeight="1">
      <x:c r="A24" s="106" t="s">
        <x:v>578</x:v>
      </x:c>
      <x:c r="B24" s="106"/>
      <x:c r="C24" s="106"/>
    </x:row>
    <x:row r="26" ht="33.75" hidden="0" customHeight="1">
      <x:c r="A26" s="21" t="s">
        <x:v>579</x:v>
      </x:c>
      <x:c r="B26" s="21"/>
      <x:c r="C26" s="21"/>
    </x:row>
    <x:row r="27" ht="48" hidden="0" customHeight="1">
      <x:c r="A27" s="34" t="s">
        <x:v>580</x:v>
      </x:c>
      <x:c r="B27" s="34"/>
      <x:c r="C27" s="34"/>
    </x:row>
  </x:sheetData>
  <x:mergeCells>
    <x:mergeCell ref="A2:C2"/>
    <x:mergeCell ref="A13:C13"/>
    <x:mergeCell ref="A14:C14"/>
    <x:mergeCell ref="A15:C15"/>
    <x:mergeCell ref="A17:C17"/>
    <x:mergeCell ref="A18:C18"/>
    <x:mergeCell ref="A20:C20"/>
    <x:mergeCell ref="A21:C21"/>
    <x:mergeCell ref="A23:C23"/>
    <x:mergeCell ref="A24:C24"/>
    <x:mergeCell ref="A26:C26"/>
    <x:mergeCell ref="A27:C27"/>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ColWidth="8.6796875" defaultRowHeight="15"/>
  <x:cols>
    <x:col min="1" max="1" width="28" style="1" hidden="0" customWidth="1"/>
    <x:col min="2" max="2" width="30" style="1" hidden="0" customWidth="1"/>
    <x:col min="3" max="3" width="80" style="1" hidden="0" customWidth="1"/>
    <x:col min="4" max="4" width="40" style="1" hidden="0" customWidth="1"/>
  </x:cols>
  <x:sheetData>
    <x:row r="1" ht="17.25" hidden="0" customHeight="1">
      <x:c r="A1" s="2" t="s">
        <x:v>581</x:v>
      </x:c>
    </x:row>
    <x:row r="2" ht="15" hidden="0" customHeight="1">
      <x:c r="A2" s="9" t="s">
        <x:v>582</x:v>
      </x:c>
    </x:row>
    <x:row r="4" ht="15" hidden="0" customHeight="1">
      <x:c r="A4" s="15" t="s">
        <x:v>583</x:v>
      </x:c>
      <x:c r="B4" s="15" t="s">
        <x:v>584</x:v>
      </x:c>
      <x:c r="C4" s="15" t="s">
        <x:v>585</x:v>
      </x:c>
      <x:c r="D4" s="15" t="s">
        <x:v>586</x:v>
      </x:c>
    </x:row>
    <x:row r="5" ht="15" hidden="0" customHeight="1">
      <x:c r="A5" s="46" t="s">
        <x:v>587</x:v>
      </x:c>
      <x:c r="B5" s="1" t="n">
        <x:v>10</x:v>
      </x:c>
      <x:c r="C5" s="4" t="s">
        <x:v>588</x:v>
      </x:c>
      <x:c r="D5" s="107"/>
    </x:row>
    <x:row r="6" ht="15" hidden="0" customHeight="1">
      <x:c r="A6" s="46" t="s">
        <x:v>589</x:v>
      </x:c>
      <x:c r="B6" s="1" t="n">
        <x:v>15</x:v>
      </x:c>
      <x:c r="C6" s="4" t="s">
        <x:v>590</x:v>
      </x:c>
      <x:c r="D6" s="107"/>
    </x:row>
    <x:row r="7" ht="15" hidden="0" customHeight="1">
      <x:c r="A7" s="46" t="s">
        <x:v>591</x:v>
      </x:c>
      <x:c r="B7" s="1" t="n">
        <x:v>15</x:v>
      </x:c>
      <x:c r="C7" s="4" t="s">
        <x:v>592</x:v>
      </x:c>
      <x:c r="D7" s="107"/>
    </x:row>
    <x:row r="8" ht="15" hidden="0" customHeight="1">
      <x:c r="A8" s="46" t="s">
        <x:v>593</x:v>
      </x:c>
      <x:c r="B8" s="1" t="n">
        <x:v>20</x:v>
      </x:c>
      <x:c r="C8" s="4" t="s">
        <x:v>594</x:v>
      </x:c>
      <x:c r="D8" s="107"/>
    </x:row>
    <x:row r="9" ht="15" hidden="0" customHeight="1">
      <x:c r="A9" s="46" t="s">
        <x:v>595</x:v>
      </x:c>
      <x:c r="B9" s="1" t="n">
        <x:v>20</x:v>
      </x:c>
      <x:c r="C9" s="4" t="s">
        <x:v>596</x:v>
      </x:c>
      <x:c r="D9" s="107"/>
    </x:row>
    <x:row r="10" ht="15" hidden="0" customHeight="1">
      <x:c r="A10" s="46" t="s">
        <x:v>597</x:v>
      </x:c>
      <x:c r="B10" s="1" t="n">
        <x:v>20</x:v>
      </x:c>
      <x:c r="C10" s="4" t="s">
        <x:v>598</x:v>
      </x:c>
      <x:c r="D10" s="107"/>
    </x:row>
    <x:row r="11" ht="15" hidden="0" customHeight="1">
      <x:c r="A11" s="5" t="s">
        <x:v>599</x:v>
      </x:c>
      <x:c r="B11" s="1" t="n">
        <x:f aca="0">SUM(B5:B10)</x:f>
        <x:v>100</x:v>
      </x:c>
      <x:c r="D11" s="61" t="n">
        <x:f aca="0">SUM(D5:D10)</x:f>
        <x:v>0</x:v>
      </x:c>
    </x:row>
    <x:row r="12" ht="15" hidden="0" customHeight="1">
      <x:c r="A12" s="5" t="s">
        <x:v>600</x:v>
      </x:c>
      <x:c r="B12" s="1" t="s">
        <x:v>601</x:v>
      </x:c>
      <x:c r="C12" s="1" t="s">
        <x:v>602</x:v>
      </x:c>
      <x:c r="D12" s="107"/>
    </x:row>
    <x:row r="15" ht="15" hidden="0" customHeight="1">
      <x:c r="A15" s="78" t="s">
        <x:v>603</x:v>
      </x:c>
    </x:row>
    <x:row r="16" ht="15" hidden="0" customHeight="1">
      <x:c r="A16" s="15" t="s">
        <x:v>583</x:v>
      </x:c>
      <x:c r="B16" s="15" t="s">
        <x:v>604</x:v>
      </x:c>
      <x:c r="C16" s="15" t="s">
        <x:v>605</x:v>
      </x:c>
      <x:c r="D16" s="15" t="s">
        <x:v>606</x:v>
      </x:c>
    </x:row>
    <x:row r="17" ht="45.75" hidden="0" customHeight="1">
      <x:c r="A17" s="108" t="s">
        <x:v>607</x:v>
      </x:c>
      <x:c r="B17" s="109" t="s">
        <x:v>608</x:v>
      </x:c>
      <x:c r="C17" s="109" t="s">
        <x:v>609</x:v>
      </x:c>
      <x:c r="D17" s="109" t="s">
        <x:v>610</x:v>
      </x:c>
    </x:row>
    <x:row r="18" ht="45.75" hidden="0" customHeight="1">
      <x:c r="A18" s="108" t="s">
        <x:v>611</x:v>
      </x:c>
      <x:c r="B18" s="109" t="s">
        <x:v>612</x:v>
      </x:c>
      <x:c r="C18" s="109" t="s">
        <x:v>613</x:v>
      </x:c>
      <x:c r="D18" s="109" t="s">
        <x:v>614</x:v>
      </x:c>
    </x:row>
    <x:row r="19" ht="45.75" hidden="0" customHeight="1">
      <x:c r="A19" s="108" t="s">
        <x:v>615</x:v>
      </x:c>
      <x:c r="B19" s="109" t="s">
        <x:v>616</x:v>
      </x:c>
      <x:c r="C19" s="109" t="s">
        <x:v>617</x:v>
      </x:c>
      <x:c r="D19" s="109" t="s">
        <x:v>618</x:v>
      </x:c>
    </x:row>
    <x:row r="20" ht="45.75" hidden="0" customHeight="1">
      <x:c r="A20" s="108" t="s">
        <x:v>619</x:v>
      </x:c>
      <x:c r="B20" s="109" t="s">
        <x:v>620</x:v>
      </x:c>
      <x:c r="C20" s="109" t="s">
        <x:v>621</x:v>
      </x:c>
      <x:c r="D20" s="109" t="s">
        <x:v>622</x:v>
      </x:c>
    </x:row>
    <x:row r="22" ht="15" hidden="0" customHeight="1">
      <x:c r="A22" s="51" t="s">
        <x:v>623</x:v>
      </x:c>
    </x:row>
  </x:sheetData>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defaultColWidth="8.6796875" defaultRowHeight="15"/>
  <x:cols>
    <x:col min="1" max="1" width="44" style="1" hidden="0" customWidth="1"/>
    <x:col min="2" max="3" width="22" style="1" hidden="0" customWidth="1"/>
    <x:col min="4" max="4" width="70" style="1" hidden="0" customWidth="1"/>
    <x:col min="5" max="5" width="48" style="1" hidden="0" customWidth="1"/>
  </x:cols>
  <x:sheetData>
    <x:row r="1" ht="15" hidden="0" customHeight="1">
      <x:c r="A1" s="78" t="s">
        <x:v>624</x:v>
      </x:c>
    </x:row>
    <x:row r="2" ht="15" hidden="0" customHeight="1">
      <x:c r="A2" s="51" t="s">
        <x:v>625</x:v>
      </x:c>
    </x:row>
    <x:row r="4" ht="27.75" hidden="0" customHeight="1">
      <x:c r="A4" s="15" t="s">
        <x:v>626</x:v>
      </x:c>
      <x:c r="B4" s="15" t="s">
        <x:v>627</x:v>
      </x:c>
      <x:c r="C4" s="15" t="s">
        <x:v>628</x:v>
      </x:c>
      <x:c r="D4" s="15" t="s">
        <x:v>629</x:v>
      </x:c>
      <x:c r="E4" s="15" t="s">
        <x:v>56</x:v>
      </x:c>
    </x:row>
    <x:row r="5" ht="15" hidden="0" customHeight="1">
      <x:c r="A5" s="80" t="s">
        <x:v>630</x:v>
      </x:c>
      <x:c r="B5" s="110" t="n">
        <x:v>0.1</x:v>
      </x:c>
      <x:c r="C5" s="110" t="n">
        <x:v>0.5</x:v>
      </x:c>
      <x:c r="D5" s="80" t="s">
        <x:v>631</x:v>
      </x:c>
      <x:c r="E5" s="80" t="s">
        <x:v>632</x:v>
      </x:c>
    </x:row>
    <x:row r="6" ht="15" hidden="0" customHeight="1">
      <x:c r="A6" s="80" t="s">
        <x:v>633</x:v>
      </x:c>
      <x:c r="B6" s="110" t="n">
        <x:v>2</x:v>
      </x:c>
      <x:c r="C6" s="110" t="n">
        <x:v>10</x:v>
      </x:c>
      <x:c r="D6" s="80" t="s">
        <x:v>634</x:v>
      </x:c>
      <x:c r="E6" s="80" t="s">
        <x:v>635</x:v>
      </x:c>
    </x:row>
    <x:row r="7" ht="15" hidden="0" customHeight="1">
      <x:c r="A7" s="80" t="s">
        <x:v>636</x:v>
      </x:c>
      <x:c r="B7" s="110" t="n">
        <x:v>1</x:v>
      </x:c>
      <x:c r="C7" s="110" t="n">
        <x:v>5</x:v>
      </x:c>
      <x:c r="D7" s="80" t="s">
        <x:v>637</x:v>
      </x:c>
      <x:c r="E7" s="80"/>
    </x:row>
    <x:row r="8" ht="15" hidden="0" customHeight="1">
      <x:c r="A8" s="80" t="s">
        <x:v>638</x:v>
      </x:c>
      <x:c r="B8" s="110" t="n">
        <x:v>2</x:v>
      </x:c>
      <x:c r="C8" s="110" t="n">
        <x:v>10</x:v>
      </x:c>
      <x:c r="D8" s="80" t="s">
        <x:v>637</x:v>
      </x:c>
      <x:c r="E8" s="80" t="s">
        <x:v>639</x:v>
      </x:c>
    </x:row>
    <x:row r="11" ht="15" hidden="0" customHeight="1">
      <x:c r="A11" s="15" t="s">
        <x:v>640</x:v>
      </x:c>
      <x:c r="B11" s="15" t="s">
        <x:v>162</x:v>
      </x:c>
      <x:c r="C11" s="15" t="s">
        <x:v>163</x:v>
      </x:c>
      <x:c r="D11" s="15" t="s">
        <x:v>641</x:v>
      </x:c>
      <x:c r="E11" s="15" t="s">
        <x:v>56</x:v>
      </x:c>
    </x:row>
    <x:row r="12" ht="15" hidden="0" customHeight="1">
      <x:c r="A12" s="80" t="s">
        <x:v>642</x:v>
      </x:c>
      <x:c r="B12" s="111" t="n">
        <x:v>26170</x:v>
      </x:c>
      <x:c r="C12" s="80" t="s">
        <x:v>188</x:v>
      </x:c>
      <x:c r="D12" s="80" t="s">
        <x:v>643</x:v>
      </x:c>
      <x:c r="E12" s="80" t="s">
        <x:v>644</x:v>
      </x:c>
    </x:row>
    <x:row r="13" ht="15" hidden="0" customHeight="1">
      <x:c r="A13" s="80" t="s">
        <x:v>645</x:v>
      </x:c>
      <x:c r="B13" s="111" t="n">
        <x:v>25636</x:v>
      </x:c>
      <x:c r="C13" s="80" t="s">
        <x:v>188</x:v>
      </x:c>
      <x:c r="D13" s="80" t="s">
        <x:v>646</x:v>
      </x:c>
      <x:c r="E13" s="80" t="s">
        <x:v>647</x:v>
      </x:c>
    </x:row>
    <x:row r="14" ht="15" hidden="0" customHeight="1">
      <x:c r="A14" s="80" t="s">
        <x:v>648</x:v>
      </x:c>
      <x:c r="B14" s="111" t="n">
        <x:v>5310000</x:v>
      </x:c>
      <x:c r="C14" s="80" t="s">
        <x:v>253</x:v>
      </x:c>
      <x:c r="D14" s="80" t="s">
        <x:v>649</x:v>
      </x:c>
      <x:c r="E14" s="80" t="s">
        <x:v>650</x:v>
      </x:c>
    </x:row>
    <x:row r="15" ht="15" hidden="0" customHeight="1">
      <x:c r="A15" s="80" t="s">
        <x:v>651</x:v>
      </x:c>
      <x:c r="B15" s="111" t="n">
        <x:v>25500</x:v>
      </x:c>
      <x:c r="C15" s="80" t="s">
        <x:v>207</x:v>
      </x:c>
      <x:c r="D15" s="80" t="s">
        <x:v>649</x:v>
      </x:c>
      <x:c r="E15" s="80" t="s">
        <x:v>652</x:v>
      </x:c>
    </x:row>
    <x:row r="18" ht="15" hidden="0" customHeight="1">
      <x:c r="A18" s="15" t="s">
        <x:v>653</x:v>
      </x:c>
      <x:c r="B18" s="15" t="s">
        <x:v>654</x:v>
      </x:c>
    </x:row>
    <x:row r="19" ht="48" hidden="0" customHeight="1">
      <x:c r="A19" s="109" t="s">
        <x:v>655</x:v>
      </x:c>
      <x:c r="B19" s="112" t="s">
        <x:v>656</x:v>
      </x:c>
      <x:c r="C19" s="112"/>
      <x:c r="D19" s="112"/>
      <x:c r="E19" s="112"/>
    </x:row>
    <x:row r="20" ht="48" hidden="0" customHeight="1">
      <x:c r="A20" s="109" t="s">
        <x:v>657</x:v>
      </x:c>
      <x:c r="B20" s="112" t="s">
        <x:v>658</x:v>
      </x:c>
      <x:c r="C20" s="112"/>
      <x:c r="D20" s="112"/>
      <x:c r="E20" s="112"/>
    </x:row>
    <x:row r="21" ht="48" hidden="0" customHeight="1">
      <x:c r="A21" s="109" t="s">
        <x:v>659</x:v>
      </x:c>
      <x:c r="B21" s="112" t="s">
        <x:v>660</x:v>
      </x:c>
      <x:c r="C21" s="112"/>
      <x:c r="D21" s="112"/>
      <x:c r="E21" s="112"/>
    </x:row>
    <x:row r="23" ht="15" hidden="0" customHeight="1">
      <x:c r="A23" s="15" t="s">
        <x:v>661</x:v>
      </x:c>
      <x:c r="B23" s="15" t="s">
        <x:v>662</x:v>
      </x:c>
    </x:row>
    <x:row r="24" ht="48" hidden="0" customHeight="1">
      <x:c r="A24" s="109" t="s">
        <x:v>663</x:v>
      </x:c>
      <x:c r="B24" s="112" t="s">
        <x:v>664</x:v>
      </x:c>
      <x:c r="C24" s="112"/>
      <x:c r="D24" s="112"/>
      <x:c r="E24" s="112"/>
    </x:row>
    <x:row r="25" ht="48" hidden="0" customHeight="1">
      <x:c r="A25" s="109" t="s">
        <x:v>665</x:v>
      </x:c>
      <x:c r="B25" s="112" t="s">
        <x:v>666</x:v>
      </x:c>
      <x:c r="C25" s="112"/>
      <x:c r="D25" s="112"/>
      <x:c r="E25" s="112"/>
    </x:row>
    <x:row r="26" ht="48" hidden="0" customHeight="1">
      <x:c r="A26" s="109" t="s">
        <x:v>667</x:v>
      </x:c>
      <x:c r="B26" s="112" t="s">
        <x:v>668</x:v>
      </x:c>
      <x:c r="C26" s="112"/>
      <x:c r="D26" s="112"/>
      <x:c r="E26" s="112"/>
    </x:row>
    <x:row r="27" ht="48" hidden="0" customHeight="1">
      <x:c r="A27" s="109" t="s">
        <x:v>669</x:v>
      </x:c>
      <x:c r="B27" s="112" t="s">
        <x:v>670</x:v>
      </x:c>
      <x:c r="C27" s="112"/>
      <x:c r="D27" s="112"/>
      <x:c r="E27" s="112"/>
    </x:row>
    <x:row r="28" ht="48" hidden="0" customHeight="1">
      <x:c r="A28" s="109" t="s">
        <x:v>671</x:v>
      </x:c>
      <x:c r="B28" s="112" t="s">
        <x:v>672</x:v>
      </x:c>
      <x:c r="C28" s="112"/>
      <x:c r="D28" s="112"/>
      <x:c r="E28" s="112"/>
    </x:row>
  </x:sheetData>
  <x:mergeCells>
    <x:mergeCell ref="B19:E19"/>
    <x:mergeCell ref="B20:E20"/>
    <x:mergeCell ref="B21:E21"/>
    <x:mergeCell ref="B24:E24"/>
    <x:mergeCell ref="B25:E25"/>
    <x:mergeCell ref="B26:E26"/>
    <x:mergeCell ref="B27:E27"/>
    <x:mergeCell ref="B28:E28"/>
  </x:mergeCells>
  <x:pageMargins left="0.7" right="0.7" top="0.75" bottom="0.75" header="0.3" footer="0.3"/>
</x:worksheet>
</file>